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dvertising_model" sheetId="1" state="visible" r:id="rId2"/>
    <sheet name="Sheet2" sheetId="2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<sst xmlns="http://schemas.openxmlformats.org/spreadsheetml/2006/main" count="22" uniqueCount="22">
  <si>
    <t xml:space="preserve">TV</t>
  </si>
  <si>
    <t xml:space="preserve">radio</t>
  </si>
  <si>
    <t xml:space="preserve">newspaper</t>
  </si>
  <si>
    <t xml:space="preserve">sales</t>
  </si>
  <si>
    <t xml:space="preserve">y1_hat</t>
  </si>
  <si>
    <t xml:space="preserve">y2_hat</t>
  </si>
  <si>
    <t xml:space="preserve">y1_se</t>
  </si>
  <si>
    <t xml:space="preserve">y2_se</t>
  </si>
  <si>
    <t xml:space="preserve">y1_ae</t>
  </si>
  <si>
    <t xml:space="preserve">y2_ae</t>
  </si>
  <si>
    <t xml:space="preserve">b</t>
  </si>
  <si>
    <t xml:space="preserve">w1</t>
  </si>
  <si>
    <t xml:space="preserve">w2</t>
  </si>
  <si>
    <t xml:space="preserve">w3</t>
  </si>
  <si>
    <t xml:space="preserve">y1_hat=2.90+0.04*x1+0.17*x2+0.002*x3</t>
  </si>
  <si>
    <t xml:space="preserve">y2_hat=1.70+0.09*x1+0.20*x2+0.017*x3</t>
  </si>
  <si>
    <t xml:space="preserve">y1_mse</t>
  </si>
  <si>
    <t xml:space="preserve">y1_rmse</t>
  </si>
  <si>
    <t xml:space="preserve">y1_mae</t>
  </si>
  <si>
    <t xml:space="preserve">y2_mse</t>
  </si>
  <si>
    <t xml:space="preserve">y2_rmse</t>
  </si>
  <si>
    <t xml:space="preserve">y2_mae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</si>
</sst>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0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6A8759"/>
      <name val="JetBrains Mono"/>
      <family val="3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6A8759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20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U8" activeCellId="0" sqref="U8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6.01"/>
    <col collapsed="false" customWidth="true" hidden="false" outlineLevel="0" max="2" min="2" style="0" width="5.46"/>
    <col collapsed="false" customWidth="true" hidden="false" outlineLevel="0" max="3" min="3" style="0" width="10.19"/>
    <col collapsed="false" customWidth="true" hidden="false" outlineLevel="0" max="4" min="4" style="0" width="5.88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  <c r="I1" s="0" t="s">
        <v>8</v>
      </c>
      <c r="J1" s="0" t="s">
        <v>9</v>
      </c>
      <c r="R1" s="0" t="s">
        <v>10</v>
      </c>
      <c r="S1" s="0" t="s">
        <v>11</v>
      </c>
      <c r="T1" s="0" t="s">
        <v>12</v>
      </c>
      <c r="U1" s="0" t="s">
        <v>13</v>
      </c>
    </row>
    <row r="2" customFormat="false" ht="12.8" hidden="false" customHeight="false" outlineLevel="0" collapsed="false">
      <c r="A2" s="0" t="n">
        <v>230.1</v>
      </c>
      <c r="B2" s="0" t="n">
        <v>37.8</v>
      </c>
      <c r="C2" s="0" t="n">
        <v>69.2</v>
      </c>
      <c r="D2" s="0" t="n">
        <v>22.1</v>
      </c>
      <c r="E2" s="0" t="n">
        <f aca="false">2.9+(0.04*A2)+(0.17*B2)+(0.002*C2)</f>
        <v>18.6684</v>
      </c>
      <c r="F2" s="0" t="n">
        <f aca="false">1.7+(0.09*A2)+(0.2*B2)+(0.017*C2)</f>
        <v>31.1454</v>
      </c>
      <c r="G2" s="0" t="n">
        <f aca="false">(D2-E2)^2</f>
        <v>11.77587856</v>
      </c>
      <c r="H2" s="0" t="n">
        <f aca="false">(D2-F2)^2</f>
        <v>81.81926116</v>
      </c>
      <c r="I2" s="0" t="n">
        <f aca="false">ABS(D2-E2)</f>
        <v>3.4316</v>
      </c>
      <c r="J2" s="0" t="n">
        <f aca="false">ABS(D2-F2)</f>
        <v>9.0454</v>
      </c>
      <c r="N2" s="1" t="s">
        <v>14</v>
      </c>
      <c r="O2" s="1"/>
      <c r="P2" s="1"/>
      <c r="Q2" s="1"/>
      <c r="R2" s="2" t="n">
        <v>2.9</v>
      </c>
      <c r="S2" s="2" t="n">
        <v>0.04</v>
      </c>
      <c r="T2" s="2" t="n">
        <v>0.17</v>
      </c>
      <c r="U2" s="2" t="n">
        <v>0.002</v>
      </c>
    </row>
    <row r="3" customFormat="false" ht="12.8" hidden="false" customHeight="false" outlineLevel="0" collapsed="false">
      <c r="A3" s="0" t="n">
        <v>44.5</v>
      </c>
      <c r="B3" s="0" t="n">
        <v>39.3</v>
      </c>
      <c r="C3" s="0" t="n">
        <v>45.1</v>
      </c>
      <c r="D3" s="0" t="n">
        <v>10.4</v>
      </c>
      <c r="E3" s="0" t="n">
        <f aca="false">2.9+(0.04*A3)+(0.17*B3)+(0.002*C3)</f>
        <v>11.4512</v>
      </c>
      <c r="F3" s="0" t="n">
        <f aca="false">1.7+(0.09*A3)+(0.2*B3)+(0.017*C3)</f>
        <v>14.3317</v>
      </c>
      <c r="G3" s="0" t="n">
        <f aca="false">(D3-E3)^2</f>
        <v>1.10502144</v>
      </c>
      <c r="H3" s="0" t="n">
        <f aca="false">(D3-F3)^2</f>
        <v>15.45826489</v>
      </c>
      <c r="I3" s="0" t="n">
        <f aca="false">ABS(D3-E3)</f>
        <v>1.0512</v>
      </c>
      <c r="J3" s="0" t="n">
        <f aca="false">ABS(D3-F3)</f>
        <v>3.9317</v>
      </c>
      <c r="N3" s="1" t="s">
        <v>15</v>
      </c>
      <c r="O3" s="1"/>
      <c r="P3" s="1"/>
      <c r="Q3" s="1"/>
      <c r="R3" s="2" t="n">
        <v>1.7</v>
      </c>
      <c r="S3" s="2" t="n">
        <v>0.09</v>
      </c>
      <c r="T3" s="2" t="n">
        <v>0.2</v>
      </c>
      <c r="U3" s="2" t="n">
        <v>0.017</v>
      </c>
    </row>
    <row r="4" customFormat="false" ht="12.8" hidden="false" customHeight="false" outlineLevel="0" collapsed="false">
      <c r="A4" s="0" t="n">
        <v>17.2</v>
      </c>
      <c r="B4" s="0" t="n">
        <v>45.9</v>
      </c>
      <c r="C4" s="0" t="n">
        <v>69.3</v>
      </c>
      <c r="D4" s="0" t="n">
        <v>9.3</v>
      </c>
      <c r="E4" s="0" t="n">
        <f aca="false">2.9+(0.04*A4)+(0.17*B4)+(0.002*C4)</f>
        <v>11.5296</v>
      </c>
      <c r="F4" s="0" t="n">
        <f aca="false">1.7+(0.09*A4)+(0.2*B4)+(0.017*C4)</f>
        <v>13.6061</v>
      </c>
      <c r="G4" s="0" t="n">
        <f aca="false">(D4-E4)^2</f>
        <v>4.97111616</v>
      </c>
      <c r="H4" s="0" t="n">
        <f aca="false">(D4-F4)^2</f>
        <v>18.54249721</v>
      </c>
      <c r="I4" s="0" t="n">
        <f aca="false">ABS(D4-E4)</f>
        <v>2.2296</v>
      </c>
      <c r="J4" s="0" t="n">
        <f aca="false">ABS(D4-F4)</f>
        <v>4.3061</v>
      </c>
    </row>
    <row r="5" customFormat="false" ht="12.8" hidden="false" customHeight="false" outlineLevel="0" collapsed="false">
      <c r="A5" s="0" t="n">
        <v>151.5</v>
      </c>
      <c r="B5" s="0" t="n">
        <v>41.3</v>
      </c>
      <c r="C5" s="0" t="n">
        <v>58.5</v>
      </c>
      <c r="D5" s="0" t="n">
        <v>18.5</v>
      </c>
      <c r="E5" s="0" t="n">
        <f aca="false">2.9+(0.04*A5)+(0.17*B5)+(0.002*C5)</f>
        <v>16.098</v>
      </c>
      <c r="F5" s="0" t="n">
        <f aca="false">1.7+(0.09*A5)+(0.2*B5)+(0.017*C5)</f>
        <v>24.5895</v>
      </c>
      <c r="G5" s="0" t="n">
        <f aca="false">(D5-E5)^2</f>
        <v>5.76960399999999</v>
      </c>
      <c r="H5" s="0" t="n">
        <f aca="false">(D5-F5)^2</f>
        <v>37.08201025</v>
      </c>
      <c r="I5" s="0" t="n">
        <f aca="false">ABS(D5-E5)</f>
        <v>2.402</v>
      </c>
      <c r="J5" s="0" t="n">
        <f aca="false">ABS(D5-F5)</f>
        <v>6.0895</v>
      </c>
    </row>
    <row r="6" customFormat="false" ht="12.8" hidden="false" customHeight="false" outlineLevel="0" collapsed="false">
      <c r="A6" s="0" t="n">
        <v>180.8</v>
      </c>
      <c r="B6" s="0" t="n">
        <v>10.8</v>
      </c>
      <c r="C6" s="0" t="n">
        <v>58.4</v>
      </c>
      <c r="D6" s="0" t="n">
        <v>12.9</v>
      </c>
      <c r="E6" s="0" t="n">
        <f aca="false">2.9+(0.04*A6)+(0.17*B6)+(0.002*C6)</f>
        <v>12.0848</v>
      </c>
      <c r="F6" s="0" t="n">
        <f aca="false">1.7+(0.09*A6)+(0.2*B6)+(0.017*C6)</f>
        <v>21.1248</v>
      </c>
      <c r="G6" s="0" t="n">
        <f aca="false">(D6-E6)^2</f>
        <v>0.664551040000001</v>
      </c>
      <c r="H6" s="0" t="n">
        <f aca="false">(D6-F6)^2</f>
        <v>67.64733504</v>
      </c>
      <c r="I6" s="0" t="n">
        <f aca="false">ABS(D6-E6)</f>
        <v>0.815200000000001</v>
      </c>
      <c r="J6" s="0" t="n">
        <f aca="false">ABS(D6-F6)</f>
        <v>8.2248</v>
      </c>
      <c r="N6" s="0" t="s">
        <v>16</v>
      </c>
      <c r="O6" s="0" t="n">
        <f aca="false">AVERAGE(G2:G201)</f>
        <v>4.6060087588</v>
      </c>
      <c r="Q6" s="0" t="s">
        <v>17</v>
      </c>
      <c r="R6" s="0" t="n">
        <f aca="false">SQRT(O6)</f>
        <v>2.14616140092026</v>
      </c>
      <c r="T6" s="0" t="s">
        <v>18</v>
      </c>
      <c r="U6" s="0" t="n">
        <f aca="false">AVERAGE(I2:I201)</f>
        <v>1.839058</v>
      </c>
    </row>
    <row r="7" customFormat="false" ht="12.8" hidden="false" customHeight="false" outlineLevel="0" collapsed="false">
      <c r="A7" s="0" t="n">
        <v>8.7</v>
      </c>
      <c r="B7" s="0" t="n">
        <v>48.9</v>
      </c>
      <c r="C7" s="0" t="n">
        <v>75</v>
      </c>
      <c r="D7" s="0" t="n">
        <v>7.2</v>
      </c>
      <c r="E7" s="0" t="n">
        <f aca="false">2.9+(0.04*A7)+(0.17*B7)+(0.002*C7)</f>
        <v>11.711</v>
      </c>
      <c r="F7" s="0" t="n">
        <f aca="false">1.7+(0.09*A7)+(0.2*B7)+(0.017*C7)</f>
        <v>13.538</v>
      </c>
      <c r="G7" s="0" t="n">
        <f aca="false">(D7-E7)^2</f>
        <v>20.349121</v>
      </c>
      <c r="H7" s="0" t="n">
        <f aca="false">(D7-F7)^2</f>
        <v>40.170244</v>
      </c>
      <c r="I7" s="0" t="n">
        <f aca="false">ABS(D7-E7)</f>
        <v>4.511</v>
      </c>
      <c r="J7" s="0" t="n">
        <f aca="false">ABS(D7-F7)</f>
        <v>6.338</v>
      </c>
      <c r="N7" s="0" t="s">
        <v>19</v>
      </c>
      <c r="O7" s="0" t="n">
        <f aca="false">AVERAGE(H2:H201)</f>
        <v>54.6129925683</v>
      </c>
      <c r="Q7" s="0" t="s">
        <v>20</v>
      </c>
      <c r="R7" s="0" t="n">
        <f aca="false">SQRT(O7)</f>
        <v>7.39006039003065</v>
      </c>
      <c r="T7" s="0" t="s">
        <v>21</v>
      </c>
      <c r="U7" s="0" t="n">
        <f aca="false">AVERAGE(J2:J201)</f>
        <v>6.21732</v>
      </c>
    </row>
    <row r="8" customFormat="false" ht="12.8" hidden="false" customHeight="false" outlineLevel="0" collapsed="false">
      <c r="A8" s="0" t="n">
        <v>57.5</v>
      </c>
      <c r="B8" s="0" t="n">
        <v>32.8</v>
      </c>
      <c r="C8" s="0" t="n">
        <v>23.5</v>
      </c>
      <c r="D8" s="0" t="n">
        <v>11.8</v>
      </c>
      <c r="E8" s="0" t="n">
        <f aca="false">2.9+(0.04*A8)+(0.17*B8)+(0.002*C8)</f>
        <v>10.823</v>
      </c>
      <c r="F8" s="0" t="n">
        <f aca="false">1.7+(0.09*A8)+(0.2*B8)+(0.017*C8)</f>
        <v>13.8345</v>
      </c>
      <c r="G8" s="0" t="n">
        <f aca="false">(D8-E8)^2</f>
        <v>0.954529000000001</v>
      </c>
      <c r="H8" s="0" t="n">
        <f aca="false">(D8-F8)^2</f>
        <v>4.13919024999999</v>
      </c>
      <c r="I8" s="0" t="n">
        <f aca="false">ABS(D8-E8)</f>
        <v>0.977</v>
      </c>
      <c r="J8" s="0" t="n">
        <f aca="false">ABS(D8-F8)</f>
        <v>2.0345</v>
      </c>
    </row>
    <row r="9" customFormat="false" ht="12.8" hidden="false" customHeight="false" outlineLevel="0" collapsed="false">
      <c r="A9" s="0" t="n">
        <v>120.2</v>
      </c>
      <c r="B9" s="0" t="n">
        <v>19.6</v>
      </c>
      <c r="C9" s="0" t="n">
        <v>11.6</v>
      </c>
      <c r="D9" s="0" t="n">
        <v>13.2</v>
      </c>
      <c r="E9" s="0" t="n">
        <f aca="false">2.9+(0.04*A9)+(0.17*B9)+(0.002*C9)</f>
        <v>11.0632</v>
      </c>
      <c r="F9" s="0" t="n">
        <f aca="false">1.7+(0.09*A9)+(0.2*B9)+(0.017*C9)</f>
        <v>16.6352</v>
      </c>
      <c r="G9" s="0" t="n">
        <f aca="false">(D9-E9)^2</f>
        <v>4.56591424</v>
      </c>
      <c r="H9" s="0" t="n">
        <f aca="false">(D9-F9)^2</f>
        <v>11.80059904</v>
      </c>
      <c r="I9" s="0" t="n">
        <f aca="false">ABS(D9-E9)</f>
        <v>2.1368</v>
      </c>
      <c r="J9" s="0" t="n">
        <f aca="false">ABS(D9-F9)</f>
        <v>3.4352</v>
      </c>
    </row>
    <row r="10" customFormat="false" ht="12.8" hidden="false" customHeight="false" outlineLevel="0" collapsed="false">
      <c r="A10" s="0" t="n">
        <v>8.6</v>
      </c>
      <c r="B10" s="0" t="n">
        <v>2.1</v>
      </c>
      <c r="C10" s="0" t="n">
        <v>1</v>
      </c>
      <c r="D10" s="0" t="n">
        <v>4.8</v>
      </c>
      <c r="E10" s="0" t="n">
        <f aca="false">2.9+(0.04*A10)+(0.17*B10)+(0.002*C10)</f>
        <v>3.603</v>
      </c>
      <c r="F10" s="0" t="n">
        <f aca="false">1.7+(0.09*A10)+(0.2*B10)+(0.017*C10)</f>
        <v>2.911</v>
      </c>
      <c r="G10" s="0" t="n">
        <f aca="false">(D10-E10)^2</f>
        <v>1.432809</v>
      </c>
      <c r="H10" s="0" t="n">
        <f aca="false">(D10-F10)^2</f>
        <v>3.568321</v>
      </c>
      <c r="I10" s="0" t="n">
        <f aca="false">ABS(D10-E10)</f>
        <v>1.197</v>
      </c>
      <c r="J10" s="0" t="n">
        <f aca="false">ABS(D10-F10)</f>
        <v>1.889</v>
      </c>
    </row>
    <row r="11" customFormat="false" ht="12.8" hidden="false" customHeight="false" outlineLevel="0" collapsed="false">
      <c r="A11" s="0" t="n">
        <v>199.8</v>
      </c>
      <c r="B11" s="0" t="n">
        <v>2.6</v>
      </c>
      <c r="C11" s="0" t="n">
        <v>21.2</v>
      </c>
      <c r="D11" s="0" t="n">
        <v>10.6</v>
      </c>
      <c r="E11" s="0" t="n">
        <f aca="false">2.9+(0.04*A11)+(0.17*B11)+(0.002*C11)</f>
        <v>11.3764</v>
      </c>
      <c r="F11" s="0" t="n">
        <f aca="false">1.7+(0.09*A11)+(0.2*B11)+(0.017*C11)</f>
        <v>20.5624</v>
      </c>
      <c r="G11" s="0" t="n">
        <f aca="false">(D11-E11)^2</f>
        <v>0.602796960000004</v>
      </c>
      <c r="H11" s="0" t="n">
        <f aca="false">(D11-F11)^2</f>
        <v>99.2494137599999</v>
      </c>
      <c r="I11" s="0" t="n">
        <f aca="false">ABS(D11-E11)</f>
        <v>0.776400000000002</v>
      </c>
      <c r="J11" s="0" t="n">
        <f aca="false">ABS(D11-F11)</f>
        <v>9.9624</v>
      </c>
    </row>
    <row r="12" customFormat="false" ht="12.8" hidden="false" customHeight="false" outlineLevel="0" collapsed="false">
      <c r="A12" s="0" t="n">
        <v>66.1</v>
      </c>
      <c r="B12" s="0" t="n">
        <v>5.8</v>
      </c>
      <c r="C12" s="0" t="n">
        <v>24.2</v>
      </c>
      <c r="D12" s="0" t="n">
        <v>8.6</v>
      </c>
      <c r="E12" s="0" t="n">
        <f aca="false">2.9+(0.04*A12)+(0.17*B12)+(0.002*C12)</f>
        <v>6.5784</v>
      </c>
      <c r="F12" s="0" t="n">
        <f aca="false">1.7+(0.09*A12)+(0.2*B12)+(0.017*C12)</f>
        <v>9.2204</v>
      </c>
      <c r="G12" s="0" t="n">
        <f aca="false">(D12-E12)^2</f>
        <v>4.08686656</v>
      </c>
      <c r="H12" s="0" t="n">
        <f aca="false">(D12-F12)^2</f>
        <v>0.38489616</v>
      </c>
      <c r="I12" s="0" t="n">
        <f aca="false">ABS(D12-E12)</f>
        <v>2.0216</v>
      </c>
      <c r="J12" s="0" t="n">
        <f aca="false">ABS(D12-F12)</f>
        <v>0.6204</v>
      </c>
    </row>
    <row r="13" customFormat="false" ht="12.8" hidden="false" customHeight="false" outlineLevel="0" collapsed="false">
      <c r="A13" s="0" t="n">
        <v>214.7</v>
      </c>
      <c r="B13" s="0" t="n">
        <v>24</v>
      </c>
      <c r="C13" s="0" t="n">
        <v>4</v>
      </c>
      <c r="D13" s="0" t="n">
        <v>17.4</v>
      </c>
      <c r="E13" s="0" t="n">
        <f aca="false">2.9+(0.04*A13)+(0.17*B13)+(0.002*C13)</f>
        <v>15.576</v>
      </c>
      <c r="F13" s="0" t="n">
        <f aca="false">1.7+(0.09*A13)+(0.2*B13)+(0.017*C13)</f>
        <v>25.891</v>
      </c>
      <c r="G13" s="0" t="n">
        <f aca="false">(D13-E13)^2</f>
        <v>3.326976</v>
      </c>
      <c r="H13" s="0" t="n">
        <f aca="false">(D13-F13)^2</f>
        <v>72.097081</v>
      </c>
      <c r="I13" s="0" t="n">
        <f aca="false">ABS(D13-E13)</f>
        <v>1.824</v>
      </c>
      <c r="J13" s="0" t="n">
        <f aca="false">ABS(D13-F13)</f>
        <v>8.491</v>
      </c>
    </row>
    <row r="14" customFormat="false" ht="12.8" hidden="false" customHeight="false" outlineLevel="0" collapsed="false">
      <c r="A14" s="0" t="n">
        <v>23.8</v>
      </c>
      <c r="B14" s="0" t="n">
        <v>35.1</v>
      </c>
      <c r="C14" s="0" t="n">
        <v>65.9</v>
      </c>
      <c r="D14" s="0" t="n">
        <v>9.2</v>
      </c>
      <c r="E14" s="0" t="n">
        <f aca="false">2.9+(0.04*A14)+(0.17*B14)+(0.002*C14)</f>
        <v>9.9508</v>
      </c>
      <c r="F14" s="0" t="n">
        <f aca="false">1.7+(0.09*A14)+(0.2*B14)+(0.017*C14)</f>
        <v>11.9823</v>
      </c>
      <c r="G14" s="0" t="n">
        <f aca="false">(D14-E14)^2</f>
        <v>0.563700640000002</v>
      </c>
      <c r="H14" s="0" t="n">
        <f aca="false">(D14-F14)^2</f>
        <v>7.74119329000001</v>
      </c>
      <c r="I14" s="0" t="n">
        <f aca="false">ABS(D14-E14)</f>
        <v>0.750800000000002</v>
      </c>
      <c r="J14" s="0" t="n">
        <f aca="false">ABS(D14-F14)</f>
        <v>2.7823</v>
      </c>
    </row>
    <row r="15" customFormat="false" ht="12.8" hidden="false" customHeight="false" outlineLevel="0" collapsed="false">
      <c r="A15" s="0" t="n">
        <v>97.5</v>
      </c>
      <c r="B15" s="0" t="n">
        <v>7.6</v>
      </c>
      <c r="C15" s="0" t="n">
        <v>7.2</v>
      </c>
      <c r="D15" s="0" t="n">
        <v>9.7</v>
      </c>
      <c r="E15" s="0" t="n">
        <f aca="false">2.9+(0.04*A15)+(0.17*B15)+(0.002*C15)</f>
        <v>8.1064</v>
      </c>
      <c r="F15" s="0" t="n">
        <f aca="false">1.7+(0.09*A15)+(0.2*B15)+(0.017*C15)</f>
        <v>12.1174</v>
      </c>
      <c r="G15" s="0" t="n">
        <f aca="false">(D15-E15)^2</f>
        <v>2.53956096</v>
      </c>
      <c r="H15" s="0" t="n">
        <f aca="false">(D15-F15)^2</f>
        <v>5.84382276</v>
      </c>
      <c r="I15" s="0" t="n">
        <f aca="false">ABS(D15-E15)</f>
        <v>1.5936</v>
      </c>
      <c r="J15" s="0" t="n">
        <f aca="false">ABS(D15-F15)</f>
        <v>2.4174</v>
      </c>
    </row>
    <row r="16" customFormat="false" ht="12.8" hidden="false" customHeight="false" outlineLevel="0" collapsed="false">
      <c r="A16" s="0" t="n">
        <v>204.1</v>
      </c>
      <c r="B16" s="0" t="n">
        <v>32.9</v>
      </c>
      <c r="C16" s="0" t="n">
        <v>46</v>
      </c>
      <c r="D16" s="0" t="n">
        <v>19</v>
      </c>
      <c r="E16" s="0" t="n">
        <f aca="false">2.9+(0.04*A16)+(0.17*B16)+(0.002*C16)</f>
        <v>16.749</v>
      </c>
      <c r="F16" s="0" t="n">
        <f aca="false">1.7+(0.09*A16)+(0.2*B16)+(0.017*C16)</f>
        <v>27.431</v>
      </c>
      <c r="G16" s="0" t="n">
        <f aca="false">(D16-E16)^2</f>
        <v>5.06700100000001</v>
      </c>
      <c r="H16" s="0" t="n">
        <f aca="false">(D16-F16)^2</f>
        <v>71.081761</v>
      </c>
      <c r="I16" s="0" t="n">
        <f aca="false">ABS(D16-E16)</f>
        <v>2.251</v>
      </c>
      <c r="J16" s="0" t="n">
        <f aca="false">ABS(D16-F16)</f>
        <v>8.431</v>
      </c>
    </row>
    <row r="17" customFormat="false" ht="12.8" hidden="false" customHeight="false" outlineLevel="0" collapsed="false">
      <c r="A17" s="0" t="n">
        <v>195.4</v>
      </c>
      <c r="B17" s="0" t="n">
        <v>47.7</v>
      </c>
      <c r="C17" s="0" t="n">
        <v>52.9</v>
      </c>
      <c r="D17" s="0" t="n">
        <v>22.4</v>
      </c>
      <c r="E17" s="0" t="n">
        <f aca="false">2.9+(0.04*A17)+(0.17*B17)+(0.002*C17)</f>
        <v>18.9308</v>
      </c>
      <c r="F17" s="0" t="n">
        <f aca="false">1.7+(0.09*A17)+(0.2*B17)+(0.017*C17)</f>
        <v>29.7253</v>
      </c>
      <c r="G17" s="0" t="n">
        <f aca="false">(D17-E17)^2</f>
        <v>12.03534864</v>
      </c>
      <c r="H17" s="0" t="n">
        <f aca="false">(D17-F17)^2</f>
        <v>53.66002009</v>
      </c>
      <c r="I17" s="0" t="n">
        <f aca="false">ABS(D17-E17)</f>
        <v>3.4692</v>
      </c>
      <c r="J17" s="0" t="n">
        <f aca="false">ABS(D17-F17)</f>
        <v>7.3253</v>
      </c>
    </row>
    <row r="18" customFormat="false" ht="12.8" hidden="false" customHeight="false" outlineLevel="0" collapsed="false">
      <c r="A18" s="0" t="n">
        <v>67.8</v>
      </c>
      <c r="B18" s="0" t="n">
        <v>36.6</v>
      </c>
      <c r="C18" s="0" t="n">
        <v>114</v>
      </c>
      <c r="D18" s="0" t="n">
        <v>12.5</v>
      </c>
      <c r="E18" s="0" t="n">
        <f aca="false">2.9+(0.04*A18)+(0.17*B18)+(0.002*C18)</f>
        <v>12.062</v>
      </c>
      <c r="F18" s="0" t="n">
        <f aca="false">1.7+(0.09*A18)+(0.2*B18)+(0.017*C18)</f>
        <v>17.06</v>
      </c>
      <c r="G18" s="0" t="n">
        <f aca="false">(D18-E18)^2</f>
        <v>0.191844000000001</v>
      </c>
      <c r="H18" s="0" t="n">
        <f aca="false">(D18-F18)^2</f>
        <v>20.7936</v>
      </c>
      <c r="I18" s="0" t="n">
        <f aca="false">ABS(D18-E18)</f>
        <v>0.438000000000001</v>
      </c>
      <c r="J18" s="0" t="n">
        <f aca="false">ABS(D18-F18)</f>
        <v>4.56</v>
      </c>
    </row>
    <row r="19" customFormat="false" ht="12.8" hidden="false" customHeight="false" outlineLevel="0" collapsed="false">
      <c r="A19" s="0" t="n">
        <v>281.4</v>
      </c>
      <c r="B19" s="0" t="n">
        <v>39.6</v>
      </c>
      <c r="C19" s="0" t="n">
        <v>55.8</v>
      </c>
      <c r="D19" s="0" t="n">
        <v>24.4</v>
      </c>
      <c r="E19" s="0" t="n">
        <f aca="false">2.9+(0.04*A19)+(0.17*B19)+(0.002*C19)</f>
        <v>20.9996</v>
      </c>
      <c r="F19" s="0" t="n">
        <f aca="false">1.7+(0.09*A19)+(0.2*B19)+(0.017*C19)</f>
        <v>35.8946</v>
      </c>
      <c r="G19" s="0" t="n">
        <f aca="false">(D19-E19)^2</f>
        <v>11.56272016</v>
      </c>
      <c r="H19" s="0" t="n">
        <f aca="false">(D19-F19)^2</f>
        <v>132.12582916</v>
      </c>
      <c r="I19" s="0" t="n">
        <f aca="false">ABS(D19-E19)</f>
        <v>3.4004</v>
      </c>
      <c r="J19" s="0" t="n">
        <f aca="false">ABS(D19-F19)</f>
        <v>11.4946</v>
      </c>
    </row>
    <row r="20" customFormat="false" ht="12.8" hidden="false" customHeight="false" outlineLevel="0" collapsed="false">
      <c r="A20" s="0" t="n">
        <v>69.2</v>
      </c>
      <c r="B20" s="0" t="n">
        <v>20.5</v>
      </c>
      <c r="C20" s="0" t="n">
        <v>18.3</v>
      </c>
      <c r="D20" s="0" t="n">
        <v>11.3</v>
      </c>
      <c r="E20" s="0" t="n">
        <f aca="false">2.9+(0.04*A20)+(0.17*B20)+(0.002*C20)</f>
        <v>9.1896</v>
      </c>
      <c r="F20" s="0" t="n">
        <f aca="false">1.7+(0.09*A20)+(0.2*B20)+(0.017*C20)</f>
        <v>12.3391</v>
      </c>
      <c r="G20" s="0" t="n">
        <f aca="false">(D20-E20)^2</f>
        <v>4.45378816</v>
      </c>
      <c r="H20" s="0" t="n">
        <f aca="false">(D20-F20)^2</f>
        <v>1.07972881</v>
      </c>
      <c r="I20" s="0" t="n">
        <f aca="false">ABS(D20-E20)</f>
        <v>2.1104</v>
      </c>
      <c r="J20" s="0" t="n">
        <f aca="false">ABS(D20-F20)</f>
        <v>1.0391</v>
      </c>
    </row>
    <row r="21" customFormat="false" ht="12.8" hidden="false" customHeight="false" outlineLevel="0" collapsed="false">
      <c r="A21" s="0" t="n">
        <v>147.3</v>
      </c>
      <c r="B21" s="0" t="n">
        <v>23.9</v>
      </c>
      <c r="C21" s="0" t="n">
        <v>19.1</v>
      </c>
      <c r="D21" s="0" t="n">
        <v>14.6</v>
      </c>
      <c r="E21" s="0" t="n">
        <f aca="false">2.9+(0.04*A21)+(0.17*B21)+(0.002*C21)</f>
        <v>12.8932</v>
      </c>
      <c r="F21" s="0" t="n">
        <f aca="false">1.7+(0.09*A21)+(0.2*B21)+(0.017*C21)</f>
        <v>20.0617</v>
      </c>
      <c r="G21" s="0" t="n">
        <f aca="false">(D21-E21)^2</f>
        <v>2.91316624</v>
      </c>
      <c r="H21" s="0" t="n">
        <f aca="false">(D21-F21)^2</f>
        <v>29.83016689</v>
      </c>
      <c r="I21" s="0" t="n">
        <f aca="false">ABS(D21-E21)</f>
        <v>1.7068</v>
      </c>
      <c r="J21" s="0" t="n">
        <f aca="false">ABS(D21-F21)</f>
        <v>5.4617</v>
      </c>
    </row>
    <row r="22" customFormat="false" ht="12.8" hidden="false" customHeight="false" outlineLevel="0" collapsed="false">
      <c r="A22" s="0" t="n">
        <v>218.4</v>
      </c>
      <c r="B22" s="0" t="n">
        <v>27.7</v>
      </c>
      <c r="C22" s="0" t="n">
        <v>53.4</v>
      </c>
      <c r="D22" s="0" t="n">
        <v>18</v>
      </c>
      <c r="E22" s="0" t="n">
        <f aca="false">2.9+(0.04*A22)+(0.17*B22)+(0.002*C22)</f>
        <v>16.4518</v>
      </c>
      <c r="F22" s="0" t="n">
        <f aca="false">1.7+(0.09*A22)+(0.2*B22)+(0.017*C22)</f>
        <v>27.8038</v>
      </c>
      <c r="G22" s="0" t="n">
        <f aca="false">(D22-E22)^2</f>
        <v>2.39692323999999</v>
      </c>
      <c r="H22" s="0" t="n">
        <f aca="false">(D22-F22)^2</f>
        <v>96.11449444</v>
      </c>
      <c r="I22" s="0" t="n">
        <f aca="false">ABS(D22-E22)</f>
        <v>1.5482</v>
      </c>
      <c r="J22" s="0" t="n">
        <f aca="false">ABS(D22-F22)</f>
        <v>9.8038</v>
      </c>
    </row>
    <row r="23" customFormat="false" ht="12.8" hidden="false" customHeight="false" outlineLevel="0" collapsed="false">
      <c r="A23" s="0" t="n">
        <v>237.4</v>
      </c>
      <c r="B23" s="0" t="n">
        <v>5.1</v>
      </c>
      <c r="C23" s="0" t="n">
        <v>23.5</v>
      </c>
      <c r="D23" s="0" t="n">
        <v>12.5</v>
      </c>
      <c r="E23" s="0" t="n">
        <f aca="false">2.9+(0.04*A23)+(0.17*B23)+(0.002*C23)</f>
        <v>13.31</v>
      </c>
      <c r="F23" s="0" t="n">
        <f aca="false">1.7+(0.09*A23)+(0.2*B23)+(0.017*C23)</f>
        <v>24.4855</v>
      </c>
      <c r="G23" s="0" t="n">
        <f aca="false">(D23-E23)^2</f>
        <v>0.656100000000004</v>
      </c>
      <c r="H23" s="0" t="n">
        <f aca="false">(D23-F23)^2</f>
        <v>143.65221025</v>
      </c>
      <c r="I23" s="0" t="n">
        <f aca="false">ABS(D23-E23)</f>
        <v>0.810000000000002</v>
      </c>
      <c r="J23" s="0" t="n">
        <f aca="false">ABS(D23-F23)</f>
        <v>11.9855</v>
      </c>
    </row>
    <row r="24" customFormat="false" ht="12.8" hidden="false" customHeight="false" outlineLevel="0" collapsed="false">
      <c r="A24" s="0" t="n">
        <v>13.2</v>
      </c>
      <c r="B24" s="0" t="n">
        <v>15.9</v>
      </c>
      <c r="C24" s="0" t="n">
        <v>49.6</v>
      </c>
      <c r="D24" s="0" t="n">
        <v>5.6</v>
      </c>
      <c r="E24" s="0" t="n">
        <f aca="false">2.9+(0.04*A24)+(0.17*B24)+(0.002*C24)</f>
        <v>6.2302</v>
      </c>
      <c r="F24" s="0" t="n">
        <f aca="false">1.7+(0.09*A24)+(0.2*B24)+(0.017*C24)</f>
        <v>6.9112</v>
      </c>
      <c r="G24" s="0" t="n">
        <f aca="false">(D24-E24)^2</f>
        <v>0.39715204</v>
      </c>
      <c r="H24" s="0" t="n">
        <f aca="false">(D24-F24)^2</f>
        <v>1.71924544</v>
      </c>
      <c r="I24" s="0" t="n">
        <f aca="false">ABS(D24-E24)</f>
        <v>0.6302</v>
      </c>
      <c r="J24" s="0" t="n">
        <f aca="false">ABS(D24-F24)</f>
        <v>1.3112</v>
      </c>
    </row>
    <row r="25" customFormat="false" ht="12.8" hidden="false" customHeight="false" outlineLevel="0" collapsed="false">
      <c r="A25" s="0" t="n">
        <v>228.3</v>
      </c>
      <c r="B25" s="0" t="n">
        <v>16.9</v>
      </c>
      <c r="C25" s="0" t="n">
        <v>26.2</v>
      </c>
      <c r="D25" s="0" t="n">
        <v>15.5</v>
      </c>
      <c r="E25" s="0" t="n">
        <f aca="false">2.9+(0.04*A25)+(0.17*B25)+(0.002*C25)</f>
        <v>14.9574</v>
      </c>
      <c r="F25" s="0" t="n">
        <f aca="false">1.7+(0.09*A25)+(0.2*B25)+(0.017*C25)</f>
        <v>26.0724</v>
      </c>
      <c r="G25" s="0" t="n">
        <f aca="false">(D25-E25)^2</f>
        <v>0.294414759999998</v>
      </c>
      <c r="H25" s="0" t="n">
        <f aca="false">(D25-F25)^2</f>
        <v>111.77564176</v>
      </c>
      <c r="I25" s="0" t="n">
        <f aca="false">ABS(D25-E25)</f>
        <v>0.542599999999998</v>
      </c>
      <c r="J25" s="0" t="n">
        <f aca="false">ABS(D25-F25)</f>
        <v>10.5724</v>
      </c>
    </row>
    <row r="26" customFormat="false" ht="12.8" hidden="false" customHeight="false" outlineLevel="0" collapsed="false">
      <c r="A26" s="0" t="n">
        <v>62.3</v>
      </c>
      <c r="B26" s="0" t="n">
        <v>12.6</v>
      </c>
      <c r="C26" s="0" t="n">
        <v>18.3</v>
      </c>
      <c r="D26" s="0" t="n">
        <v>9.7</v>
      </c>
      <c r="E26" s="0" t="n">
        <f aca="false">2.9+(0.04*A26)+(0.17*B26)+(0.002*C26)</f>
        <v>7.5706</v>
      </c>
      <c r="F26" s="0" t="n">
        <f aca="false">1.7+(0.09*A26)+(0.2*B26)+(0.017*C26)</f>
        <v>10.1381</v>
      </c>
      <c r="G26" s="0" t="n">
        <f aca="false">(D26-E26)^2</f>
        <v>4.53434436</v>
      </c>
      <c r="H26" s="0" t="n">
        <f aca="false">(D26-F26)^2</f>
        <v>0.19193161</v>
      </c>
      <c r="I26" s="0" t="n">
        <f aca="false">ABS(D26-E26)</f>
        <v>2.1294</v>
      </c>
      <c r="J26" s="0" t="n">
        <f aca="false">ABS(D26-F26)</f>
        <v>0.4381</v>
      </c>
    </row>
    <row r="27" customFormat="false" ht="12.8" hidden="false" customHeight="false" outlineLevel="0" collapsed="false">
      <c r="A27" s="0" t="n">
        <v>262.9</v>
      </c>
      <c r="B27" s="0" t="n">
        <v>3.5</v>
      </c>
      <c r="C27" s="0" t="n">
        <v>19.5</v>
      </c>
      <c r="D27" s="0" t="n">
        <v>12</v>
      </c>
      <c r="E27" s="0" t="n">
        <f aca="false">2.9+(0.04*A27)+(0.17*B27)+(0.002*C27)</f>
        <v>14.05</v>
      </c>
      <c r="F27" s="0" t="n">
        <f aca="false">1.7+(0.09*A27)+(0.2*B27)+(0.017*C27)</f>
        <v>26.3925</v>
      </c>
      <c r="G27" s="0" t="n">
        <f aca="false">(D27-E27)^2</f>
        <v>4.2025</v>
      </c>
      <c r="H27" s="0" t="n">
        <f aca="false">(D27-F27)^2</f>
        <v>207.14405625</v>
      </c>
      <c r="I27" s="0" t="n">
        <f aca="false">ABS(D27-E27)</f>
        <v>2.05</v>
      </c>
      <c r="J27" s="0" t="n">
        <f aca="false">ABS(D27-F27)</f>
        <v>14.3925</v>
      </c>
    </row>
    <row r="28" customFormat="false" ht="12.8" hidden="false" customHeight="false" outlineLevel="0" collapsed="false">
      <c r="A28" s="0" t="n">
        <v>142.9</v>
      </c>
      <c r="B28" s="0" t="n">
        <v>29.3</v>
      </c>
      <c r="C28" s="0" t="n">
        <v>12.6</v>
      </c>
      <c r="D28" s="0" t="n">
        <v>15</v>
      </c>
      <c r="E28" s="0" t="n">
        <f aca="false">2.9+(0.04*A28)+(0.17*B28)+(0.002*C28)</f>
        <v>13.6222</v>
      </c>
      <c r="F28" s="0" t="n">
        <f aca="false">1.7+(0.09*A28)+(0.2*B28)+(0.017*C28)</f>
        <v>20.6352</v>
      </c>
      <c r="G28" s="0" t="n">
        <f aca="false">(D28-E28)^2</f>
        <v>1.89833284</v>
      </c>
      <c r="H28" s="0" t="n">
        <f aca="false">(D28-F28)^2</f>
        <v>31.75547904</v>
      </c>
      <c r="I28" s="0" t="n">
        <f aca="false">ABS(D28-E28)</f>
        <v>1.3778</v>
      </c>
      <c r="J28" s="0" t="n">
        <f aca="false">ABS(D28-F28)</f>
        <v>5.6352</v>
      </c>
    </row>
    <row r="29" customFormat="false" ht="12.8" hidden="false" customHeight="false" outlineLevel="0" collapsed="false">
      <c r="A29" s="0" t="n">
        <v>240.1</v>
      </c>
      <c r="B29" s="0" t="n">
        <v>16.7</v>
      </c>
      <c r="C29" s="0" t="n">
        <v>22.9</v>
      </c>
      <c r="D29" s="0" t="n">
        <v>15.9</v>
      </c>
      <c r="E29" s="0" t="n">
        <f aca="false">2.9+(0.04*A29)+(0.17*B29)+(0.002*C29)</f>
        <v>15.3888</v>
      </c>
      <c r="F29" s="0" t="n">
        <f aca="false">1.7+(0.09*A29)+(0.2*B29)+(0.017*C29)</f>
        <v>27.0383</v>
      </c>
      <c r="G29" s="0" t="n">
        <f aca="false">(D29-E29)^2</f>
        <v>0.261325440000001</v>
      </c>
      <c r="H29" s="0" t="n">
        <f aca="false">(D29-F29)^2</f>
        <v>124.06172689</v>
      </c>
      <c r="I29" s="0" t="n">
        <f aca="false">ABS(D29-E29)</f>
        <v>0.511200000000001</v>
      </c>
      <c r="J29" s="0" t="n">
        <f aca="false">ABS(D29-F29)</f>
        <v>11.1383</v>
      </c>
    </row>
    <row r="30" customFormat="false" ht="12.8" hidden="false" customHeight="false" outlineLevel="0" collapsed="false">
      <c r="A30" s="0" t="n">
        <v>248.8</v>
      </c>
      <c r="B30" s="0" t="n">
        <v>27.1</v>
      </c>
      <c r="C30" s="0" t="n">
        <v>22.9</v>
      </c>
      <c r="D30" s="0" t="n">
        <v>18.9</v>
      </c>
      <c r="E30" s="0" t="n">
        <f aca="false">2.9+(0.04*A30)+(0.17*B30)+(0.002*C30)</f>
        <v>17.5048</v>
      </c>
      <c r="F30" s="0" t="n">
        <f aca="false">1.7+(0.09*A30)+(0.2*B30)+(0.017*C30)</f>
        <v>29.9013</v>
      </c>
      <c r="G30" s="0" t="n">
        <f aca="false">(D30-E30)^2</f>
        <v>1.94658304</v>
      </c>
      <c r="H30" s="0" t="n">
        <f aca="false">(D30-F30)^2</f>
        <v>121.02860169</v>
      </c>
      <c r="I30" s="0" t="n">
        <f aca="false">ABS(D30-E30)</f>
        <v>1.3952</v>
      </c>
      <c r="J30" s="0" t="n">
        <f aca="false">ABS(D30-F30)</f>
        <v>11.0013</v>
      </c>
    </row>
    <row r="31" customFormat="false" ht="12.8" hidden="false" customHeight="false" outlineLevel="0" collapsed="false">
      <c r="A31" s="0" t="n">
        <v>70.6</v>
      </c>
      <c r="B31" s="0" t="n">
        <v>16</v>
      </c>
      <c r="C31" s="0" t="n">
        <v>40.8</v>
      </c>
      <c r="D31" s="0" t="n">
        <v>10.5</v>
      </c>
      <c r="E31" s="0" t="n">
        <f aca="false">2.9+(0.04*A31)+(0.17*B31)+(0.002*C31)</f>
        <v>8.5256</v>
      </c>
      <c r="F31" s="0" t="n">
        <f aca="false">1.7+(0.09*A31)+(0.2*B31)+(0.017*C31)</f>
        <v>11.9476</v>
      </c>
      <c r="G31" s="0" t="n">
        <f aca="false">(D31-E31)^2</f>
        <v>3.89825536</v>
      </c>
      <c r="H31" s="0" t="n">
        <f aca="false">(D31-F31)^2</f>
        <v>2.09554575999999</v>
      </c>
      <c r="I31" s="0" t="n">
        <f aca="false">ABS(D31-E31)</f>
        <v>1.9744</v>
      </c>
      <c r="J31" s="0" t="n">
        <f aca="false">ABS(D31-F31)</f>
        <v>1.4476</v>
      </c>
    </row>
    <row r="32" customFormat="false" ht="12.8" hidden="false" customHeight="false" outlineLevel="0" collapsed="false">
      <c r="A32" s="0" t="n">
        <v>292.9</v>
      </c>
      <c r="B32" s="0" t="n">
        <v>28.3</v>
      </c>
      <c r="C32" s="0" t="n">
        <v>43.2</v>
      </c>
      <c r="D32" s="0" t="n">
        <v>21.4</v>
      </c>
      <c r="E32" s="0" t="n">
        <f aca="false">2.9+(0.04*A32)+(0.17*B32)+(0.002*C32)</f>
        <v>19.5134</v>
      </c>
      <c r="F32" s="0" t="n">
        <f aca="false">1.7+(0.09*A32)+(0.2*B32)+(0.017*C32)</f>
        <v>34.4554</v>
      </c>
      <c r="G32" s="0" t="n">
        <f aca="false">(D32-E32)^2</f>
        <v>3.55925955999999</v>
      </c>
      <c r="H32" s="0" t="n">
        <f aca="false">(D32-F32)^2</f>
        <v>170.44346916</v>
      </c>
      <c r="I32" s="0" t="n">
        <f aca="false">ABS(D32-E32)</f>
        <v>1.8866</v>
      </c>
      <c r="J32" s="0" t="n">
        <f aca="false">ABS(D32-F32)</f>
        <v>13.0554</v>
      </c>
    </row>
    <row r="33" customFormat="false" ht="12.8" hidden="false" customHeight="false" outlineLevel="0" collapsed="false">
      <c r="A33" s="0" t="n">
        <v>112.9</v>
      </c>
      <c r="B33" s="0" t="n">
        <v>17.4</v>
      </c>
      <c r="C33" s="0" t="n">
        <v>38.6</v>
      </c>
      <c r="D33" s="0" t="n">
        <v>11.9</v>
      </c>
      <c r="E33" s="0" t="n">
        <f aca="false">2.9+(0.04*A33)+(0.17*B33)+(0.002*C33)</f>
        <v>10.4512</v>
      </c>
      <c r="F33" s="0" t="n">
        <f aca="false">1.7+(0.09*A33)+(0.2*B33)+(0.017*C33)</f>
        <v>15.9972</v>
      </c>
      <c r="G33" s="0" t="n">
        <f aca="false">(D33-E33)^2</f>
        <v>2.09902144</v>
      </c>
      <c r="H33" s="0" t="n">
        <f aca="false">(D33-F33)^2</f>
        <v>16.78704784</v>
      </c>
      <c r="I33" s="0" t="n">
        <f aca="false">ABS(D33-E33)</f>
        <v>1.4488</v>
      </c>
      <c r="J33" s="0" t="n">
        <f aca="false">ABS(D33-F33)</f>
        <v>4.0972</v>
      </c>
    </row>
    <row r="34" customFormat="false" ht="12.8" hidden="false" customHeight="false" outlineLevel="0" collapsed="false">
      <c r="A34" s="0" t="n">
        <v>97.2</v>
      </c>
      <c r="B34" s="0" t="n">
        <v>1.5</v>
      </c>
      <c r="C34" s="0" t="n">
        <v>30</v>
      </c>
      <c r="D34" s="0" t="n">
        <v>9.6</v>
      </c>
      <c r="E34" s="0" t="n">
        <f aca="false">2.9+(0.04*A34)+(0.17*B34)+(0.002*C34)</f>
        <v>7.103</v>
      </c>
      <c r="F34" s="0" t="n">
        <f aca="false">1.7+(0.09*A34)+(0.2*B34)+(0.017*C34)</f>
        <v>11.258</v>
      </c>
      <c r="G34" s="0" t="n">
        <f aca="false">(D34-E34)^2</f>
        <v>6.235009</v>
      </c>
      <c r="H34" s="0" t="n">
        <f aca="false">(D34-F34)^2</f>
        <v>2.748964</v>
      </c>
      <c r="I34" s="0" t="n">
        <f aca="false">ABS(D34-E34)</f>
        <v>2.497</v>
      </c>
      <c r="J34" s="0" t="n">
        <f aca="false">ABS(D34-F34)</f>
        <v>1.658</v>
      </c>
    </row>
    <row r="35" customFormat="false" ht="12.8" hidden="false" customHeight="false" outlineLevel="0" collapsed="false">
      <c r="A35" s="0" t="n">
        <v>265.6</v>
      </c>
      <c r="B35" s="0" t="n">
        <v>20</v>
      </c>
      <c r="C35" s="0" t="n">
        <v>0.3</v>
      </c>
      <c r="D35" s="0" t="n">
        <v>17.4</v>
      </c>
      <c r="E35" s="0" t="n">
        <f aca="false">2.9+(0.04*A35)+(0.17*B35)+(0.002*C35)</f>
        <v>16.9246</v>
      </c>
      <c r="F35" s="0" t="n">
        <f aca="false">1.7+(0.09*A35)+(0.2*B35)+(0.017*C35)</f>
        <v>29.6091</v>
      </c>
      <c r="G35" s="0" t="n">
        <f aca="false">(D35-E35)^2</f>
        <v>0.22600516</v>
      </c>
      <c r="H35" s="0" t="n">
        <f aca="false">(D35-F35)^2</f>
        <v>149.06212281</v>
      </c>
      <c r="I35" s="0" t="n">
        <f aca="false">ABS(D35-E35)</f>
        <v>0.475400000000001</v>
      </c>
      <c r="J35" s="0" t="n">
        <f aca="false">ABS(D35-F35)</f>
        <v>12.2091</v>
      </c>
    </row>
    <row r="36" customFormat="false" ht="12.8" hidden="false" customHeight="false" outlineLevel="0" collapsed="false">
      <c r="A36" s="0" t="n">
        <v>95.7</v>
      </c>
      <c r="B36" s="0" t="n">
        <v>1.4</v>
      </c>
      <c r="C36" s="0" t="n">
        <v>7.4</v>
      </c>
      <c r="D36" s="0" t="n">
        <v>9.5</v>
      </c>
      <c r="E36" s="0" t="n">
        <f aca="false">2.9+(0.04*A36)+(0.17*B36)+(0.002*C36)</f>
        <v>6.9808</v>
      </c>
      <c r="F36" s="0" t="n">
        <f aca="false">1.7+(0.09*A36)+(0.2*B36)+(0.017*C36)</f>
        <v>10.7188</v>
      </c>
      <c r="G36" s="0" t="n">
        <f aca="false">(D36-E36)^2</f>
        <v>6.34636864</v>
      </c>
      <c r="H36" s="0" t="n">
        <f aca="false">(D36-F36)^2</f>
        <v>1.48547344</v>
      </c>
      <c r="I36" s="0" t="n">
        <f aca="false">ABS(D36-E36)</f>
        <v>2.5192</v>
      </c>
      <c r="J36" s="0" t="n">
        <f aca="false">ABS(D36-F36)</f>
        <v>1.2188</v>
      </c>
    </row>
    <row r="37" customFormat="false" ht="12.8" hidden="false" customHeight="false" outlineLevel="0" collapsed="false">
      <c r="A37" s="0" t="n">
        <v>290.7</v>
      </c>
      <c r="B37" s="0" t="n">
        <v>4.1</v>
      </c>
      <c r="C37" s="0" t="n">
        <v>8.5</v>
      </c>
      <c r="D37" s="0" t="n">
        <v>12.8</v>
      </c>
      <c r="E37" s="0" t="n">
        <f aca="false">2.9+(0.04*A37)+(0.17*B37)+(0.002*C37)</f>
        <v>15.242</v>
      </c>
      <c r="F37" s="0" t="n">
        <f aca="false">1.7+(0.09*A37)+(0.2*B37)+(0.017*C37)</f>
        <v>28.8275</v>
      </c>
      <c r="G37" s="0" t="n">
        <f aca="false">(D37-E37)^2</f>
        <v>5.96336399999999</v>
      </c>
      <c r="H37" s="0" t="n">
        <f aca="false">(D37-F37)^2</f>
        <v>256.88075625</v>
      </c>
      <c r="I37" s="0" t="n">
        <f aca="false">ABS(D37-E37)</f>
        <v>2.442</v>
      </c>
      <c r="J37" s="0" t="n">
        <f aca="false">ABS(D37-F37)</f>
        <v>16.0275</v>
      </c>
    </row>
    <row r="38" customFormat="false" ht="12.8" hidden="false" customHeight="false" outlineLevel="0" collapsed="false">
      <c r="A38" s="0" t="n">
        <v>266.9</v>
      </c>
      <c r="B38" s="0" t="n">
        <v>43.8</v>
      </c>
      <c r="C38" s="0" t="n">
        <v>5</v>
      </c>
      <c r="D38" s="0" t="n">
        <v>25.4</v>
      </c>
      <c r="E38" s="0" t="n">
        <f aca="false">2.9+(0.04*A38)+(0.17*B38)+(0.002*C38)</f>
        <v>21.032</v>
      </c>
      <c r="F38" s="0" t="n">
        <f aca="false">1.7+(0.09*A38)+(0.2*B38)+(0.017*C38)</f>
        <v>34.566</v>
      </c>
      <c r="G38" s="0" t="n">
        <f aca="false">(D38-E38)^2</f>
        <v>19.079424</v>
      </c>
      <c r="H38" s="0" t="n">
        <f aca="false">(D38-F38)^2</f>
        <v>84.015556</v>
      </c>
      <c r="I38" s="0" t="n">
        <f aca="false">ABS(D38-E38)</f>
        <v>4.368</v>
      </c>
      <c r="J38" s="0" t="n">
        <f aca="false">ABS(D38-F38)</f>
        <v>9.166</v>
      </c>
    </row>
    <row r="39" customFormat="false" ht="12.8" hidden="false" customHeight="false" outlineLevel="0" collapsed="false">
      <c r="A39" s="0" t="n">
        <v>74.7</v>
      </c>
      <c r="B39" s="0" t="n">
        <v>49.4</v>
      </c>
      <c r="C39" s="0" t="n">
        <v>45.7</v>
      </c>
      <c r="D39" s="0" t="n">
        <v>14.7</v>
      </c>
      <c r="E39" s="0" t="n">
        <f aca="false">2.9+(0.04*A39)+(0.17*B39)+(0.002*C39)</f>
        <v>14.3774</v>
      </c>
      <c r="F39" s="0" t="n">
        <f aca="false">1.7+(0.09*A39)+(0.2*B39)+(0.017*C39)</f>
        <v>19.0799</v>
      </c>
      <c r="G39" s="0" t="n">
        <f aca="false">(D39-E39)^2</f>
        <v>0.10407076</v>
      </c>
      <c r="H39" s="0" t="n">
        <f aca="false">(D39-F39)^2</f>
        <v>19.18352401</v>
      </c>
      <c r="I39" s="0" t="n">
        <f aca="false">ABS(D39-E39)</f>
        <v>0.3226</v>
      </c>
      <c r="J39" s="0" t="n">
        <f aca="false">ABS(D39-F39)</f>
        <v>4.3799</v>
      </c>
    </row>
    <row r="40" customFormat="false" ht="12.8" hidden="false" customHeight="false" outlineLevel="0" collapsed="false">
      <c r="A40" s="0" t="n">
        <v>43.1</v>
      </c>
      <c r="B40" s="0" t="n">
        <v>26.7</v>
      </c>
      <c r="C40" s="0" t="n">
        <v>35.1</v>
      </c>
      <c r="D40" s="0" t="n">
        <v>10.1</v>
      </c>
      <c r="E40" s="0" t="n">
        <f aca="false">2.9+(0.04*A40)+(0.17*B40)+(0.002*C40)</f>
        <v>9.2332</v>
      </c>
      <c r="F40" s="0" t="n">
        <f aca="false">1.7+(0.09*A40)+(0.2*B40)+(0.017*C40)</f>
        <v>11.5157</v>
      </c>
      <c r="G40" s="0" t="n">
        <f aca="false">(D40-E40)^2</f>
        <v>0.751342239999999</v>
      </c>
      <c r="H40" s="0" t="n">
        <f aca="false">(D40-F40)^2</f>
        <v>2.00420649</v>
      </c>
      <c r="I40" s="0" t="n">
        <f aca="false">ABS(D40-E40)</f>
        <v>0.8668</v>
      </c>
      <c r="J40" s="0" t="n">
        <f aca="false">ABS(D40-F40)</f>
        <v>1.4157</v>
      </c>
    </row>
    <row r="41" customFormat="false" ht="12.8" hidden="false" customHeight="false" outlineLevel="0" collapsed="false">
      <c r="A41" s="0" t="n">
        <v>228</v>
      </c>
      <c r="B41" s="0" t="n">
        <v>37.7</v>
      </c>
      <c r="C41" s="0" t="n">
        <v>32</v>
      </c>
      <c r="D41" s="0" t="n">
        <v>21.5</v>
      </c>
      <c r="E41" s="0" t="n">
        <f aca="false">2.9+(0.04*A41)+(0.17*B41)+(0.002*C41)</f>
        <v>18.493</v>
      </c>
      <c r="F41" s="0" t="n">
        <f aca="false">1.7+(0.09*A41)+(0.2*B41)+(0.017*C41)</f>
        <v>30.304</v>
      </c>
      <c r="G41" s="0" t="n">
        <f aca="false">(D41-E41)^2</f>
        <v>9.04204899999999</v>
      </c>
      <c r="H41" s="0" t="n">
        <f aca="false">(D41-F41)^2</f>
        <v>77.510416</v>
      </c>
      <c r="I41" s="0" t="n">
        <f aca="false">ABS(D41-E41)</f>
        <v>3.007</v>
      </c>
      <c r="J41" s="0" t="n">
        <f aca="false">ABS(D41-F41)</f>
        <v>8.804</v>
      </c>
    </row>
    <row r="42" customFormat="false" ht="12.8" hidden="false" customHeight="false" outlineLevel="0" collapsed="false">
      <c r="A42" s="0" t="n">
        <v>202.5</v>
      </c>
      <c r="B42" s="0" t="n">
        <v>22.3</v>
      </c>
      <c r="C42" s="0" t="n">
        <v>31.6</v>
      </c>
      <c r="D42" s="0" t="n">
        <v>16.6</v>
      </c>
      <c r="E42" s="0" t="n">
        <f aca="false">2.9+(0.04*A42)+(0.17*B42)+(0.002*C42)</f>
        <v>14.8542</v>
      </c>
      <c r="F42" s="0" t="n">
        <f aca="false">1.7+(0.09*A42)+(0.2*B42)+(0.017*C42)</f>
        <v>24.9222</v>
      </c>
      <c r="G42" s="0" t="n">
        <f aca="false">(D42-E42)^2</f>
        <v>3.04781764</v>
      </c>
      <c r="H42" s="0" t="n">
        <f aca="false">(D42-F42)^2</f>
        <v>69.2590128399999</v>
      </c>
      <c r="I42" s="0" t="n">
        <f aca="false">ABS(D42-E42)</f>
        <v>1.7458</v>
      </c>
      <c r="J42" s="0" t="n">
        <f aca="false">ABS(D42-F42)</f>
        <v>8.3222</v>
      </c>
    </row>
    <row r="43" customFormat="false" ht="12.8" hidden="false" customHeight="false" outlineLevel="0" collapsed="false">
      <c r="A43" s="0" t="n">
        <v>177</v>
      </c>
      <c r="B43" s="0" t="n">
        <v>33.4</v>
      </c>
      <c r="C43" s="0" t="n">
        <v>38.7</v>
      </c>
      <c r="D43" s="0" t="n">
        <v>17.1</v>
      </c>
      <c r="E43" s="0" t="n">
        <f aca="false">2.9+(0.04*A43)+(0.17*B43)+(0.002*C43)</f>
        <v>15.7354</v>
      </c>
      <c r="F43" s="0" t="n">
        <f aca="false">1.7+(0.09*A43)+(0.2*B43)+(0.017*C43)</f>
        <v>24.9679</v>
      </c>
      <c r="G43" s="0" t="n">
        <f aca="false">(D43-E43)^2</f>
        <v>1.86213316</v>
      </c>
      <c r="H43" s="0" t="n">
        <f aca="false">(D43-F43)^2</f>
        <v>61.90385041</v>
      </c>
      <c r="I43" s="0" t="n">
        <f aca="false">ABS(D43-E43)</f>
        <v>1.3646</v>
      </c>
      <c r="J43" s="0" t="n">
        <f aca="false">ABS(D43-F43)</f>
        <v>7.8679</v>
      </c>
    </row>
    <row r="44" customFormat="false" ht="12.8" hidden="false" customHeight="false" outlineLevel="0" collapsed="false">
      <c r="A44" s="0" t="n">
        <v>293.6</v>
      </c>
      <c r="B44" s="0" t="n">
        <v>27.7</v>
      </c>
      <c r="C44" s="0" t="n">
        <v>1.8</v>
      </c>
      <c r="D44" s="0" t="n">
        <v>20.7</v>
      </c>
      <c r="E44" s="0" t="n">
        <f aca="false">2.9+(0.04*A44)+(0.17*B44)+(0.002*C44)</f>
        <v>19.3566</v>
      </c>
      <c r="F44" s="0" t="n">
        <f aca="false">1.7+(0.09*A44)+(0.2*B44)+(0.017*C44)</f>
        <v>33.6946</v>
      </c>
      <c r="G44" s="0" t="n">
        <f aca="false">(D44-E44)^2</f>
        <v>1.80472356</v>
      </c>
      <c r="H44" s="0" t="n">
        <f aca="false">(D44-F44)^2</f>
        <v>168.85962916</v>
      </c>
      <c r="I44" s="0" t="n">
        <f aca="false">ABS(D44-E44)</f>
        <v>1.3434</v>
      </c>
      <c r="J44" s="0" t="n">
        <f aca="false">ABS(D44-F44)</f>
        <v>12.9946</v>
      </c>
    </row>
    <row r="45" customFormat="false" ht="12.8" hidden="false" customHeight="false" outlineLevel="0" collapsed="false">
      <c r="A45" s="0" t="n">
        <v>206.9</v>
      </c>
      <c r="B45" s="0" t="n">
        <v>8.4</v>
      </c>
      <c r="C45" s="0" t="n">
        <v>26.4</v>
      </c>
      <c r="D45" s="0" t="n">
        <v>12.9</v>
      </c>
      <c r="E45" s="0" t="n">
        <f aca="false">2.9+(0.04*A45)+(0.17*B45)+(0.002*C45)</f>
        <v>12.6568</v>
      </c>
      <c r="F45" s="0" t="n">
        <f aca="false">1.7+(0.09*A45)+(0.2*B45)+(0.017*C45)</f>
        <v>22.4498</v>
      </c>
      <c r="G45" s="0" t="n">
        <f aca="false">(D45-E45)^2</f>
        <v>0.0591462399999999</v>
      </c>
      <c r="H45" s="0" t="n">
        <f aca="false">(D45-F45)^2</f>
        <v>91.1986800399999</v>
      </c>
      <c r="I45" s="0" t="n">
        <f aca="false">ABS(D45-E45)</f>
        <v>0.2432</v>
      </c>
      <c r="J45" s="0" t="n">
        <f aca="false">ABS(D45-F45)</f>
        <v>9.5498</v>
      </c>
    </row>
    <row r="46" customFormat="false" ht="12.8" hidden="false" customHeight="false" outlineLevel="0" collapsed="false">
      <c r="A46" s="0" t="n">
        <v>25.1</v>
      </c>
      <c r="B46" s="0" t="n">
        <v>25.7</v>
      </c>
      <c r="C46" s="0" t="n">
        <v>43.3</v>
      </c>
      <c r="D46" s="0" t="n">
        <v>8.5</v>
      </c>
      <c r="E46" s="0" t="n">
        <f aca="false">2.9+(0.04*A46)+(0.17*B46)+(0.002*C46)</f>
        <v>8.3596</v>
      </c>
      <c r="F46" s="0" t="n">
        <f aca="false">1.7+(0.09*A46)+(0.2*B46)+(0.017*C46)</f>
        <v>9.8351</v>
      </c>
      <c r="G46" s="0" t="n">
        <f aca="false">(D46-E46)^2</f>
        <v>0.0197121599999999</v>
      </c>
      <c r="H46" s="0" t="n">
        <f aca="false">(D46-F46)^2</f>
        <v>1.78249201</v>
      </c>
      <c r="I46" s="0" t="n">
        <f aca="false">ABS(D46-E46)</f>
        <v>0.1404</v>
      </c>
      <c r="J46" s="0" t="n">
        <f aca="false">ABS(D46-F46)</f>
        <v>1.3351</v>
      </c>
    </row>
    <row r="47" customFormat="false" ht="12.8" hidden="false" customHeight="false" outlineLevel="0" collapsed="false">
      <c r="A47" s="0" t="n">
        <v>175.1</v>
      </c>
      <c r="B47" s="0" t="n">
        <v>22.5</v>
      </c>
      <c r="C47" s="0" t="n">
        <v>31.5</v>
      </c>
      <c r="D47" s="0" t="n">
        <v>14.9</v>
      </c>
      <c r="E47" s="0" t="n">
        <f aca="false">2.9+(0.04*A47)+(0.17*B47)+(0.002*C47)</f>
        <v>13.792</v>
      </c>
      <c r="F47" s="0" t="n">
        <f aca="false">1.7+(0.09*A47)+(0.2*B47)+(0.017*C47)</f>
        <v>22.4945</v>
      </c>
      <c r="G47" s="0" t="n">
        <f aca="false">(D47-E47)^2</f>
        <v>1.227664</v>
      </c>
      <c r="H47" s="0" t="n">
        <f aca="false">(D47-F47)^2</f>
        <v>57.67643025</v>
      </c>
      <c r="I47" s="0" t="n">
        <f aca="false">ABS(D47-E47)</f>
        <v>1.108</v>
      </c>
      <c r="J47" s="0" t="n">
        <f aca="false">ABS(D47-F47)</f>
        <v>7.5945</v>
      </c>
    </row>
    <row r="48" customFormat="false" ht="12.8" hidden="false" customHeight="false" outlineLevel="0" collapsed="false">
      <c r="A48" s="0" t="n">
        <v>89.7</v>
      </c>
      <c r="B48" s="0" t="n">
        <v>9.9</v>
      </c>
      <c r="C48" s="0" t="n">
        <v>35.7</v>
      </c>
      <c r="D48" s="0" t="n">
        <v>10.6</v>
      </c>
      <c r="E48" s="0" t="n">
        <f aca="false">2.9+(0.04*A48)+(0.17*B48)+(0.002*C48)</f>
        <v>8.2424</v>
      </c>
      <c r="F48" s="0" t="n">
        <f aca="false">1.7+(0.09*A48)+(0.2*B48)+(0.017*C48)</f>
        <v>12.3599</v>
      </c>
      <c r="G48" s="0" t="n">
        <f aca="false">(D48-E48)^2</f>
        <v>5.55827776</v>
      </c>
      <c r="H48" s="0" t="n">
        <f aca="false">(D48-F48)^2</f>
        <v>3.09724801</v>
      </c>
      <c r="I48" s="0" t="n">
        <f aca="false">ABS(D48-E48)</f>
        <v>2.3576</v>
      </c>
      <c r="J48" s="0" t="n">
        <f aca="false">ABS(D48-F48)</f>
        <v>1.7599</v>
      </c>
    </row>
    <row r="49" customFormat="false" ht="12.8" hidden="false" customHeight="false" outlineLevel="0" collapsed="false">
      <c r="A49" s="0" t="n">
        <v>239.9</v>
      </c>
      <c r="B49" s="0" t="n">
        <v>41.5</v>
      </c>
      <c r="C49" s="0" t="n">
        <v>18.5</v>
      </c>
      <c r="D49" s="0" t="n">
        <v>23.2</v>
      </c>
      <c r="E49" s="0" t="n">
        <f aca="false">2.9+(0.04*A49)+(0.17*B49)+(0.002*C49)</f>
        <v>19.588</v>
      </c>
      <c r="F49" s="0" t="n">
        <f aca="false">1.7+(0.09*A49)+(0.2*B49)+(0.017*C49)</f>
        <v>31.9055</v>
      </c>
      <c r="G49" s="0" t="n">
        <f aca="false">(D49-E49)^2</f>
        <v>13.046544</v>
      </c>
      <c r="H49" s="0" t="n">
        <f aca="false">(D49-F49)^2</f>
        <v>75.78573025</v>
      </c>
      <c r="I49" s="0" t="n">
        <f aca="false">ABS(D49-E49)</f>
        <v>3.612</v>
      </c>
      <c r="J49" s="0" t="n">
        <f aca="false">ABS(D49-F49)</f>
        <v>8.7055</v>
      </c>
    </row>
    <row r="50" customFormat="false" ht="12.8" hidden="false" customHeight="false" outlineLevel="0" collapsed="false">
      <c r="A50" s="0" t="n">
        <v>227.2</v>
      </c>
      <c r="B50" s="0" t="n">
        <v>15.8</v>
      </c>
      <c r="C50" s="0" t="n">
        <v>49.9</v>
      </c>
      <c r="D50" s="0" t="n">
        <v>14.8</v>
      </c>
      <c r="E50" s="0" t="n">
        <f aca="false">2.9+(0.04*A50)+(0.17*B50)+(0.002*C50)</f>
        <v>14.7738</v>
      </c>
      <c r="F50" s="0" t="n">
        <f aca="false">1.7+(0.09*A50)+(0.2*B50)+(0.017*C50)</f>
        <v>26.1563</v>
      </c>
      <c r="G50" s="0" t="n">
        <f aca="false">(D50-E50)^2</f>
        <v>0.000686440000000058</v>
      </c>
      <c r="H50" s="0" t="n">
        <f aca="false">(D50-F50)^2</f>
        <v>128.96554969</v>
      </c>
      <c r="I50" s="0" t="n">
        <f aca="false">ABS(D50-E50)</f>
        <v>0.0262000000000011</v>
      </c>
      <c r="J50" s="0" t="n">
        <f aca="false">ABS(D50-F50)</f>
        <v>11.3563</v>
      </c>
    </row>
    <row r="51" customFormat="false" ht="12.8" hidden="false" customHeight="false" outlineLevel="0" collapsed="false">
      <c r="A51" s="0" t="n">
        <v>66.9</v>
      </c>
      <c r="B51" s="0" t="n">
        <v>11.7</v>
      </c>
      <c r="C51" s="0" t="n">
        <v>36.8</v>
      </c>
      <c r="D51" s="0" t="n">
        <v>9.7</v>
      </c>
      <c r="E51" s="0" t="n">
        <f aca="false">2.9+(0.04*A51)+(0.17*B51)+(0.002*C51)</f>
        <v>7.6386</v>
      </c>
      <c r="F51" s="0" t="n">
        <f aca="false">1.7+(0.09*A51)+(0.2*B51)+(0.017*C51)</f>
        <v>10.6866</v>
      </c>
      <c r="G51" s="0" t="n">
        <f aca="false">(D51-E51)^2</f>
        <v>4.24936996</v>
      </c>
      <c r="H51" s="0" t="n">
        <f aca="false">(D51-F51)^2</f>
        <v>0.973379560000002</v>
      </c>
      <c r="I51" s="0" t="n">
        <f aca="false">ABS(D51-E51)</f>
        <v>2.0614</v>
      </c>
      <c r="J51" s="0" t="n">
        <f aca="false">ABS(D51-F51)</f>
        <v>0.986600000000001</v>
      </c>
    </row>
    <row r="52" customFormat="false" ht="12.8" hidden="false" customHeight="false" outlineLevel="0" collapsed="false">
      <c r="A52" s="0" t="n">
        <v>199.8</v>
      </c>
      <c r="B52" s="0" t="n">
        <v>3.1</v>
      </c>
      <c r="C52" s="0" t="n">
        <v>34.6</v>
      </c>
      <c r="D52" s="0" t="n">
        <v>11.4</v>
      </c>
      <c r="E52" s="0" t="n">
        <f aca="false">2.9+(0.04*A52)+(0.17*B52)+(0.002*C52)</f>
        <v>11.4882</v>
      </c>
      <c r="F52" s="0" t="n">
        <f aca="false">1.7+(0.09*A52)+(0.2*B52)+(0.017*C52)</f>
        <v>20.8902</v>
      </c>
      <c r="G52" s="0" t="n">
        <f aca="false">(D52-E52)^2</f>
        <v>0.00777924000000009</v>
      </c>
      <c r="H52" s="0" t="n">
        <f aca="false">(D52-F52)^2</f>
        <v>90.06389604</v>
      </c>
      <c r="I52" s="0" t="n">
        <f aca="false">ABS(D52-E52)</f>
        <v>0.0882000000000005</v>
      </c>
      <c r="J52" s="0" t="n">
        <f aca="false">ABS(D52-F52)</f>
        <v>9.4902</v>
      </c>
    </row>
    <row r="53" customFormat="false" ht="12.8" hidden="false" customHeight="false" outlineLevel="0" collapsed="false">
      <c r="A53" s="0" t="n">
        <v>100.4</v>
      </c>
      <c r="B53" s="0" t="n">
        <v>9.6</v>
      </c>
      <c r="C53" s="0" t="n">
        <v>3.6</v>
      </c>
      <c r="D53" s="0" t="n">
        <v>10.7</v>
      </c>
      <c r="E53" s="0" t="n">
        <f aca="false">2.9+(0.04*A53)+(0.17*B53)+(0.002*C53)</f>
        <v>8.5552</v>
      </c>
      <c r="F53" s="0" t="n">
        <f aca="false">1.7+(0.09*A53)+(0.2*B53)+(0.017*C53)</f>
        <v>12.7172</v>
      </c>
      <c r="G53" s="0" t="n">
        <f aca="false">(D53-E53)^2</f>
        <v>4.60016704</v>
      </c>
      <c r="H53" s="0" t="n">
        <f aca="false">(D53-F53)^2</f>
        <v>4.06909584</v>
      </c>
      <c r="I53" s="0" t="n">
        <f aca="false">ABS(D53-E53)</f>
        <v>2.1448</v>
      </c>
      <c r="J53" s="0" t="n">
        <f aca="false">ABS(D53-F53)</f>
        <v>2.0172</v>
      </c>
    </row>
    <row r="54" customFormat="false" ht="12.8" hidden="false" customHeight="false" outlineLevel="0" collapsed="false">
      <c r="A54" s="0" t="n">
        <v>216.4</v>
      </c>
      <c r="B54" s="0" t="n">
        <v>41.7</v>
      </c>
      <c r="C54" s="0" t="n">
        <v>39.6</v>
      </c>
      <c r="D54" s="0" t="n">
        <v>22.6</v>
      </c>
      <c r="E54" s="0" t="n">
        <f aca="false">2.9+(0.04*A54)+(0.17*B54)+(0.002*C54)</f>
        <v>18.7242</v>
      </c>
      <c r="F54" s="0" t="n">
        <f aca="false">1.7+(0.09*A54)+(0.2*B54)+(0.017*C54)</f>
        <v>30.1892</v>
      </c>
      <c r="G54" s="0" t="n">
        <f aca="false">(D54-E54)^2</f>
        <v>15.02182564</v>
      </c>
      <c r="H54" s="0" t="n">
        <f aca="false">(D54-F54)^2</f>
        <v>57.59595664</v>
      </c>
      <c r="I54" s="0" t="n">
        <f aca="false">ABS(D54-E54)</f>
        <v>3.8758</v>
      </c>
      <c r="J54" s="0" t="n">
        <f aca="false">ABS(D54-F54)</f>
        <v>7.5892</v>
      </c>
    </row>
    <row r="55" customFormat="false" ht="12.8" hidden="false" customHeight="false" outlineLevel="0" collapsed="false">
      <c r="A55" s="0" t="n">
        <v>182.6</v>
      </c>
      <c r="B55" s="0" t="n">
        <v>46.2</v>
      </c>
      <c r="C55" s="0" t="n">
        <v>58.7</v>
      </c>
      <c r="D55" s="0" t="n">
        <v>21.2</v>
      </c>
      <c r="E55" s="0" t="n">
        <f aca="false">2.9+(0.04*A55)+(0.17*B55)+(0.002*C55)</f>
        <v>18.1754</v>
      </c>
      <c r="F55" s="0" t="n">
        <f aca="false">1.7+(0.09*A55)+(0.2*B55)+(0.017*C55)</f>
        <v>28.3719</v>
      </c>
      <c r="G55" s="0" t="n">
        <f aca="false">(D55-E55)^2</f>
        <v>9.14820516</v>
      </c>
      <c r="H55" s="0" t="n">
        <f aca="false">(D55-F55)^2</f>
        <v>51.43614961</v>
      </c>
      <c r="I55" s="0" t="n">
        <f aca="false">ABS(D55-E55)</f>
        <v>3.0246</v>
      </c>
      <c r="J55" s="0" t="n">
        <f aca="false">ABS(D55-F55)</f>
        <v>7.1719</v>
      </c>
    </row>
    <row r="56" customFormat="false" ht="12.8" hidden="false" customHeight="false" outlineLevel="0" collapsed="false">
      <c r="A56" s="0" t="n">
        <v>262.7</v>
      </c>
      <c r="B56" s="0" t="n">
        <v>28.8</v>
      </c>
      <c r="C56" s="0" t="n">
        <v>15.9</v>
      </c>
      <c r="D56" s="0" t="n">
        <v>20.2</v>
      </c>
      <c r="E56" s="0" t="n">
        <f aca="false">2.9+(0.04*A56)+(0.17*B56)+(0.002*C56)</f>
        <v>18.3358</v>
      </c>
      <c r="F56" s="0" t="n">
        <f aca="false">1.7+(0.09*A56)+(0.2*B56)+(0.017*C56)</f>
        <v>31.3733</v>
      </c>
      <c r="G56" s="0" t="n">
        <f aca="false">(D56-E56)^2</f>
        <v>3.47524163999999</v>
      </c>
      <c r="H56" s="0" t="n">
        <f aca="false">(D56-F56)^2</f>
        <v>124.84263289</v>
      </c>
      <c r="I56" s="0" t="n">
        <f aca="false">ABS(D56-E56)</f>
        <v>1.8642</v>
      </c>
      <c r="J56" s="0" t="n">
        <f aca="false">ABS(D56-F56)</f>
        <v>11.1733</v>
      </c>
    </row>
    <row r="57" customFormat="false" ht="12.8" hidden="false" customHeight="false" outlineLevel="0" collapsed="false">
      <c r="A57" s="0" t="n">
        <v>198.9</v>
      </c>
      <c r="B57" s="0" t="n">
        <v>49.4</v>
      </c>
      <c r="C57" s="0" t="n">
        <v>60</v>
      </c>
      <c r="D57" s="0" t="n">
        <v>23.7</v>
      </c>
      <c r="E57" s="0" t="n">
        <f aca="false">2.9+(0.04*A57)+(0.17*B57)+(0.002*C57)</f>
        <v>19.374</v>
      </c>
      <c r="F57" s="0" t="n">
        <f aca="false">1.7+(0.09*A57)+(0.2*B57)+(0.017*C57)</f>
        <v>30.501</v>
      </c>
      <c r="G57" s="0" t="n">
        <f aca="false">(D57-E57)^2</f>
        <v>18.714276</v>
      </c>
      <c r="H57" s="0" t="n">
        <f aca="false">(D57-F57)^2</f>
        <v>46.253601</v>
      </c>
      <c r="I57" s="0" t="n">
        <f aca="false">ABS(D57-E57)</f>
        <v>4.326</v>
      </c>
      <c r="J57" s="0" t="n">
        <f aca="false">ABS(D57-F57)</f>
        <v>6.801</v>
      </c>
    </row>
    <row r="58" customFormat="false" ht="12.8" hidden="false" customHeight="false" outlineLevel="0" collapsed="false">
      <c r="A58" s="0" t="n">
        <v>7.3</v>
      </c>
      <c r="B58" s="0" t="n">
        <v>28.1</v>
      </c>
      <c r="C58" s="0" t="n">
        <v>41.4</v>
      </c>
      <c r="D58" s="0" t="n">
        <v>5.5</v>
      </c>
      <c r="E58" s="0" t="n">
        <f aca="false">2.9+(0.04*A58)+(0.17*B58)+(0.002*C58)</f>
        <v>8.0518</v>
      </c>
      <c r="F58" s="0" t="n">
        <f aca="false">1.7+(0.09*A58)+(0.2*B58)+(0.017*C58)</f>
        <v>8.6808</v>
      </c>
      <c r="G58" s="0" t="n">
        <f aca="false">(D58-E58)^2</f>
        <v>6.51168324000001</v>
      </c>
      <c r="H58" s="0" t="n">
        <f aca="false">(D58-F58)^2</f>
        <v>10.11748864</v>
      </c>
      <c r="I58" s="0" t="n">
        <f aca="false">ABS(D58-E58)</f>
        <v>2.5518</v>
      </c>
      <c r="J58" s="0" t="n">
        <f aca="false">ABS(D58-F58)</f>
        <v>3.1808</v>
      </c>
    </row>
    <row r="59" customFormat="false" ht="12.8" hidden="false" customHeight="false" outlineLevel="0" collapsed="false">
      <c r="A59" s="0" t="n">
        <v>136.2</v>
      </c>
      <c r="B59" s="0" t="n">
        <v>19.2</v>
      </c>
      <c r="C59" s="0" t="n">
        <v>16.6</v>
      </c>
      <c r="D59" s="0" t="n">
        <v>13.2</v>
      </c>
      <c r="E59" s="0" t="n">
        <f aca="false">2.9+(0.04*A59)+(0.17*B59)+(0.002*C59)</f>
        <v>11.6452</v>
      </c>
      <c r="F59" s="0" t="n">
        <f aca="false">1.7+(0.09*A59)+(0.2*B59)+(0.017*C59)</f>
        <v>18.0802</v>
      </c>
      <c r="G59" s="0" t="n">
        <f aca="false">(D59-E59)^2</f>
        <v>2.41740304</v>
      </c>
      <c r="H59" s="0" t="n">
        <f aca="false">(D59-F59)^2</f>
        <v>23.81635204</v>
      </c>
      <c r="I59" s="0" t="n">
        <f aca="false">ABS(D59-E59)</f>
        <v>1.5548</v>
      </c>
      <c r="J59" s="0" t="n">
        <f aca="false">ABS(D59-F59)</f>
        <v>4.8802</v>
      </c>
    </row>
    <row r="60" customFormat="false" ht="12.8" hidden="false" customHeight="false" outlineLevel="0" collapsed="false">
      <c r="A60" s="0" t="n">
        <v>210.8</v>
      </c>
      <c r="B60" s="0" t="n">
        <v>49.6</v>
      </c>
      <c r="C60" s="0" t="n">
        <v>37.7</v>
      </c>
      <c r="D60" s="0" t="n">
        <v>23.8</v>
      </c>
      <c r="E60" s="0" t="n">
        <f aca="false">2.9+(0.04*A60)+(0.17*B60)+(0.002*C60)</f>
        <v>19.8394</v>
      </c>
      <c r="F60" s="0" t="n">
        <f aca="false">1.7+(0.09*A60)+(0.2*B60)+(0.017*C60)</f>
        <v>31.2329</v>
      </c>
      <c r="G60" s="0" t="n">
        <f aca="false">(D60-E60)^2</f>
        <v>15.68635236</v>
      </c>
      <c r="H60" s="0" t="n">
        <f aca="false">(D60-F60)^2</f>
        <v>55.24800241</v>
      </c>
      <c r="I60" s="0" t="n">
        <f aca="false">ABS(D60-E60)</f>
        <v>3.9606</v>
      </c>
      <c r="J60" s="0" t="n">
        <f aca="false">ABS(D60-F60)</f>
        <v>7.4329</v>
      </c>
    </row>
    <row r="61" customFormat="false" ht="12.8" hidden="false" customHeight="false" outlineLevel="0" collapsed="false">
      <c r="A61" s="0" t="n">
        <v>210.7</v>
      </c>
      <c r="B61" s="0" t="n">
        <v>29.5</v>
      </c>
      <c r="C61" s="0" t="n">
        <v>9.3</v>
      </c>
      <c r="D61" s="0" t="n">
        <v>18.4</v>
      </c>
      <c r="E61" s="0" t="n">
        <f aca="false">2.9+(0.04*A61)+(0.17*B61)+(0.002*C61)</f>
        <v>16.3616</v>
      </c>
      <c r="F61" s="0" t="n">
        <f aca="false">1.7+(0.09*A61)+(0.2*B61)+(0.017*C61)</f>
        <v>26.7211</v>
      </c>
      <c r="G61" s="0" t="n">
        <f aca="false">(D61-E61)^2</f>
        <v>4.15507456</v>
      </c>
      <c r="H61" s="0" t="n">
        <f aca="false">(D61-F61)^2</f>
        <v>69.24070521</v>
      </c>
      <c r="I61" s="0" t="n">
        <f aca="false">ABS(D61-E61)</f>
        <v>2.0384</v>
      </c>
      <c r="J61" s="0" t="n">
        <f aca="false">ABS(D61-F61)</f>
        <v>8.3211</v>
      </c>
    </row>
    <row r="62" customFormat="false" ht="12.8" hidden="false" customHeight="false" outlineLevel="0" collapsed="false">
      <c r="A62" s="0" t="n">
        <v>53.5</v>
      </c>
      <c r="B62" s="0" t="n">
        <v>2</v>
      </c>
      <c r="C62" s="0" t="n">
        <v>21.4</v>
      </c>
      <c r="D62" s="0" t="n">
        <v>8.1</v>
      </c>
      <c r="E62" s="0" t="n">
        <f aca="false">2.9+(0.04*A62)+(0.17*B62)+(0.002*C62)</f>
        <v>5.4228</v>
      </c>
      <c r="F62" s="0" t="n">
        <f aca="false">1.7+(0.09*A62)+(0.2*B62)+(0.017*C62)</f>
        <v>7.2788</v>
      </c>
      <c r="G62" s="0" t="n">
        <f aca="false">(D62-E62)^2</f>
        <v>7.16739984</v>
      </c>
      <c r="H62" s="0" t="n">
        <f aca="false">(D62-F62)^2</f>
        <v>0.674369439999999</v>
      </c>
      <c r="I62" s="0" t="n">
        <f aca="false">ABS(D62-E62)</f>
        <v>2.6772</v>
      </c>
      <c r="J62" s="0" t="n">
        <f aca="false">ABS(D62-F62)</f>
        <v>0.821199999999999</v>
      </c>
    </row>
    <row r="63" customFormat="false" ht="12.8" hidden="false" customHeight="false" outlineLevel="0" collapsed="false">
      <c r="A63" s="0" t="n">
        <v>261.3</v>
      </c>
      <c r="B63" s="0" t="n">
        <v>42.7</v>
      </c>
      <c r="C63" s="0" t="n">
        <v>54.7</v>
      </c>
      <c r="D63" s="0" t="n">
        <v>24.2</v>
      </c>
      <c r="E63" s="0" t="n">
        <f aca="false">2.9+(0.04*A63)+(0.17*B63)+(0.002*C63)</f>
        <v>20.7204</v>
      </c>
      <c r="F63" s="0" t="n">
        <f aca="false">1.7+(0.09*A63)+(0.2*B63)+(0.017*C63)</f>
        <v>34.6869</v>
      </c>
      <c r="G63" s="0" t="n">
        <f aca="false">(D63-E63)^2</f>
        <v>12.10761616</v>
      </c>
      <c r="H63" s="0" t="n">
        <f aca="false">(D63-F63)^2</f>
        <v>109.97507161</v>
      </c>
      <c r="I63" s="0" t="n">
        <f aca="false">ABS(D63-E63)</f>
        <v>3.4796</v>
      </c>
      <c r="J63" s="0" t="n">
        <f aca="false">ABS(D63-F63)</f>
        <v>10.4869</v>
      </c>
    </row>
    <row r="64" customFormat="false" ht="12.8" hidden="false" customHeight="false" outlineLevel="0" collapsed="false">
      <c r="A64" s="0" t="n">
        <v>239.3</v>
      </c>
      <c r="B64" s="0" t="n">
        <v>15.5</v>
      </c>
      <c r="C64" s="0" t="n">
        <v>27.3</v>
      </c>
      <c r="D64" s="0" t="n">
        <v>15.7</v>
      </c>
      <c r="E64" s="0" t="n">
        <f aca="false">2.9+(0.04*A64)+(0.17*B64)+(0.002*C64)</f>
        <v>15.1616</v>
      </c>
      <c r="F64" s="0" t="n">
        <f aca="false">1.7+(0.09*A64)+(0.2*B64)+(0.017*C64)</f>
        <v>26.8011</v>
      </c>
      <c r="G64" s="0" t="n">
        <f aca="false">(D64-E64)^2</f>
        <v>0.289874559999997</v>
      </c>
      <c r="H64" s="0" t="n">
        <f aca="false">(D64-F64)^2</f>
        <v>123.23442121</v>
      </c>
      <c r="I64" s="0" t="n">
        <f aca="false">ABS(D64-E64)</f>
        <v>0.538399999999998</v>
      </c>
      <c r="J64" s="0" t="n">
        <f aca="false">ABS(D64-F64)</f>
        <v>11.1011</v>
      </c>
    </row>
    <row r="65" customFormat="false" ht="12.8" hidden="false" customHeight="false" outlineLevel="0" collapsed="false">
      <c r="A65" s="0" t="n">
        <v>102.7</v>
      </c>
      <c r="B65" s="0" t="n">
        <v>29.6</v>
      </c>
      <c r="C65" s="0" t="n">
        <v>8.4</v>
      </c>
      <c r="D65" s="0" t="n">
        <v>14</v>
      </c>
      <c r="E65" s="0" t="n">
        <f aca="false">2.9+(0.04*A65)+(0.17*B65)+(0.002*C65)</f>
        <v>12.0568</v>
      </c>
      <c r="F65" s="0" t="n">
        <f aca="false">1.7+(0.09*A65)+(0.2*B65)+(0.017*C65)</f>
        <v>17.0058</v>
      </c>
      <c r="G65" s="0" t="n">
        <f aca="false">(D65-E65)^2</f>
        <v>3.77602623999999</v>
      </c>
      <c r="H65" s="0" t="n">
        <f aca="false">(D65-F65)^2</f>
        <v>9.03483364</v>
      </c>
      <c r="I65" s="0" t="n">
        <f aca="false">ABS(D65-E65)</f>
        <v>1.9432</v>
      </c>
      <c r="J65" s="0" t="n">
        <f aca="false">ABS(D65-F65)</f>
        <v>3.0058</v>
      </c>
    </row>
    <row r="66" customFormat="false" ht="12.8" hidden="false" customHeight="false" outlineLevel="0" collapsed="false">
      <c r="A66" s="0" t="n">
        <v>131.1</v>
      </c>
      <c r="B66" s="0" t="n">
        <v>42.8</v>
      </c>
      <c r="C66" s="0" t="n">
        <v>28.9</v>
      </c>
      <c r="D66" s="0" t="n">
        <v>18</v>
      </c>
      <c r="E66" s="0" t="n">
        <f aca="false">2.9+(0.04*A66)+(0.17*B66)+(0.002*C66)</f>
        <v>15.4778</v>
      </c>
      <c r="F66" s="0" t="n">
        <f aca="false">1.7+(0.09*A66)+(0.2*B66)+(0.017*C66)</f>
        <v>22.5503</v>
      </c>
      <c r="G66" s="0" t="n">
        <f aca="false">(D66-E66)^2</f>
        <v>6.36149284</v>
      </c>
      <c r="H66" s="0" t="n">
        <f aca="false">(D66-F66)^2</f>
        <v>20.70523009</v>
      </c>
      <c r="I66" s="0" t="n">
        <f aca="false">ABS(D66-E66)</f>
        <v>2.5222</v>
      </c>
      <c r="J66" s="0" t="n">
        <f aca="false">ABS(D66-F66)</f>
        <v>4.5503</v>
      </c>
    </row>
    <row r="67" customFormat="false" ht="12.8" hidden="false" customHeight="false" outlineLevel="0" collapsed="false">
      <c r="A67" s="0" t="n">
        <v>69</v>
      </c>
      <c r="B67" s="0" t="n">
        <v>9.3</v>
      </c>
      <c r="C67" s="0" t="n">
        <v>0.9</v>
      </c>
      <c r="D67" s="0" t="n">
        <v>9.3</v>
      </c>
      <c r="E67" s="0" t="n">
        <f aca="false">2.9+(0.04*A67)+(0.17*B67)+(0.002*C67)</f>
        <v>7.2428</v>
      </c>
      <c r="F67" s="0" t="n">
        <f aca="false">1.7+(0.09*A67)+(0.2*B67)+(0.017*C67)</f>
        <v>9.7853</v>
      </c>
      <c r="G67" s="0" t="n">
        <f aca="false">(D67-E67)^2</f>
        <v>4.23207184</v>
      </c>
      <c r="H67" s="0" t="n">
        <f aca="false">(D67-F67)^2</f>
        <v>0.235516089999999</v>
      </c>
      <c r="I67" s="0" t="n">
        <f aca="false">ABS(D67-E67)</f>
        <v>2.0572</v>
      </c>
      <c r="J67" s="0" t="n">
        <f aca="false">ABS(D67-F67)</f>
        <v>0.485299999999999</v>
      </c>
    </row>
    <row r="68" customFormat="false" ht="12.8" hidden="false" customHeight="false" outlineLevel="0" collapsed="false">
      <c r="A68" s="0" t="n">
        <v>31.5</v>
      </c>
      <c r="B68" s="0" t="n">
        <v>24.6</v>
      </c>
      <c r="C68" s="0" t="n">
        <v>2.2</v>
      </c>
      <c r="D68" s="0" t="n">
        <v>9.5</v>
      </c>
      <c r="E68" s="0" t="n">
        <f aca="false">2.9+(0.04*A68)+(0.17*B68)+(0.002*C68)</f>
        <v>8.3464</v>
      </c>
      <c r="F68" s="0" t="n">
        <f aca="false">1.7+(0.09*A68)+(0.2*B68)+(0.017*C68)</f>
        <v>9.4924</v>
      </c>
      <c r="G68" s="0" t="n">
        <f aca="false">(D68-E68)^2</f>
        <v>1.33079296</v>
      </c>
      <c r="H68" s="0" t="n">
        <f aca="false">(D68-F68)^2</f>
        <v>5.77599999999738E-005</v>
      </c>
      <c r="I68" s="0" t="n">
        <f aca="false">ABS(D68-E68)</f>
        <v>1.1536</v>
      </c>
      <c r="J68" s="0" t="n">
        <f aca="false">ABS(D68-F68)</f>
        <v>0.00759999999999828</v>
      </c>
    </row>
    <row r="69" customFormat="false" ht="12.8" hidden="false" customHeight="false" outlineLevel="0" collapsed="false">
      <c r="A69" s="0" t="n">
        <v>139.3</v>
      </c>
      <c r="B69" s="0" t="n">
        <v>14.5</v>
      </c>
      <c r="C69" s="0" t="n">
        <v>10.2</v>
      </c>
      <c r="D69" s="0" t="n">
        <v>13.4</v>
      </c>
      <c r="E69" s="0" t="n">
        <f aca="false">2.9+(0.04*A69)+(0.17*B69)+(0.002*C69)</f>
        <v>10.9574</v>
      </c>
      <c r="F69" s="0" t="n">
        <f aca="false">1.7+(0.09*A69)+(0.2*B69)+(0.017*C69)</f>
        <v>17.3104</v>
      </c>
      <c r="G69" s="0" t="n">
        <f aca="false">(D69-E69)^2</f>
        <v>5.96629475999999</v>
      </c>
      <c r="H69" s="0" t="n">
        <f aca="false">(D69-F69)^2</f>
        <v>15.29122816</v>
      </c>
      <c r="I69" s="0" t="n">
        <f aca="false">ABS(D69-E69)</f>
        <v>2.4426</v>
      </c>
      <c r="J69" s="0" t="n">
        <f aca="false">ABS(D69-F69)</f>
        <v>3.9104</v>
      </c>
    </row>
    <row r="70" customFormat="false" ht="12.8" hidden="false" customHeight="false" outlineLevel="0" collapsed="false">
      <c r="A70" s="0" t="n">
        <v>237.4</v>
      </c>
      <c r="B70" s="0" t="n">
        <v>27.5</v>
      </c>
      <c r="C70" s="0" t="n">
        <v>11</v>
      </c>
      <c r="D70" s="0" t="n">
        <v>18.9</v>
      </c>
      <c r="E70" s="0" t="n">
        <f aca="false">2.9+(0.04*A70)+(0.17*B70)+(0.002*C70)</f>
        <v>17.093</v>
      </c>
      <c r="F70" s="0" t="n">
        <f aca="false">1.7+(0.09*A70)+(0.2*B70)+(0.017*C70)</f>
        <v>28.753</v>
      </c>
      <c r="G70" s="0" t="n">
        <f aca="false">(D70-E70)^2</f>
        <v>3.26524899999999</v>
      </c>
      <c r="H70" s="0" t="n">
        <f aca="false">(D70-F70)^2</f>
        <v>97.081609</v>
      </c>
      <c r="I70" s="0" t="n">
        <f aca="false">ABS(D70-E70)</f>
        <v>1.807</v>
      </c>
      <c r="J70" s="0" t="n">
        <f aca="false">ABS(D70-F70)</f>
        <v>9.853</v>
      </c>
    </row>
    <row r="71" customFormat="false" ht="12.8" hidden="false" customHeight="false" outlineLevel="0" collapsed="false">
      <c r="A71" s="0" t="n">
        <v>216.8</v>
      </c>
      <c r="B71" s="0" t="n">
        <v>43.9</v>
      </c>
      <c r="C71" s="0" t="n">
        <v>27.2</v>
      </c>
      <c r="D71" s="0" t="n">
        <v>22.3</v>
      </c>
      <c r="E71" s="0" t="n">
        <f aca="false">2.9+(0.04*A71)+(0.17*B71)+(0.002*C71)</f>
        <v>19.0894</v>
      </c>
      <c r="F71" s="0" t="n">
        <f aca="false">1.7+(0.09*A71)+(0.2*B71)+(0.017*C71)</f>
        <v>30.4544</v>
      </c>
      <c r="G71" s="0" t="n">
        <f aca="false">(D71-E71)^2</f>
        <v>10.30795236</v>
      </c>
      <c r="H71" s="0" t="n">
        <f aca="false">(D71-F71)^2</f>
        <v>66.4942393599999</v>
      </c>
      <c r="I71" s="0" t="n">
        <f aca="false">ABS(D71-E71)</f>
        <v>3.2106</v>
      </c>
      <c r="J71" s="0" t="n">
        <f aca="false">ABS(D71-F71)</f>
        <v>8.1544</v>
      </c>
    </row>
    <row r="72" customFormat="false" ht="12.8" hidden="false" customHeight="false" outlineLevel="0" collapsed="false">
      <c r="A72" s="0" t="n">
        <v>199.1</v>
      </c>
      <c r="B72" s="0" t="n">
        <v>30.6</v>
      </c>
      <c r="C72" s="0" t="n">
        <v>38.7</v>
      </c>
      <c r="D72" s="0" t="n">
        <v>18.3</v>
      </c>
      <c r="E72" s="0" t="n">
        <f aca="false">2.9+(0.04*A72)+(0.17*B72)+(0.002*C72)</f>
        <v>16.1434</v>
      </c>
      <c r="F72" s="0" t="n">
        <f aca="false">1.7+(0.09*A72)+(0.2*B72)+(0.017*C72)</f>
        <v>26.3969</v>
      </c>
      <c r="G72" s="0" t="n">
        <f aca="false">(D72-E72)^2</f>
        <v>4.65092356</v>
      </c>
      <c r="H72" s="0" t="n">
        <f aca="false">(D72-F72)^2</f>
        <v>65.55978961</v>
      </c>
      <c r="I72" s="0" t="n">
        <f aca="false">ABS(D72-E72)</f>
        <v>2.1566</v>
      </c>
      <c r="J72" s="0" t="n">
        <f aca="false">ABS(D72-F72)</f>
        <v>8.0969</v>
      </c>
    </row>
    <row r="73" customFormat="false" ht="12.8" hidden="false" customHeight="false" outlineLevel="0" collapsed="false">
      <c r="A73" s="0" t="n">
        <v>109.8</v>
      </c>
      <c r="B73" s="0" t="n">
        <v>14.3</v>
      </c>
      <c r="C73" s="0" t="n">
        <v>31.7</v>
      </c>
      <c r="D73" s="0" t="n">
        <v>12.4</v>
      </c>
      <c r="E73" s="0" t="n">
        <f aca="false">2.9+(0.04*A73)+(0.17*B73)+(0.002*C73)</f>
        <v>9.7864</v>
      </c>
      <c r="F73" s="0" t="n">
        <f aca="false">1.7+(0.09*A73)+(0.2*B73)+(0.017*C73)</f>
        <v>14.9809</v>
      </c>
      <c r="G73" s="0" t="n">
        <f aca="false">(D73-E73)^2</f>
        <v>6.83090496</v>
      </c>
      <c r="H73" s="0" t="n">
        <f aca="false">(D73-F73)^2</f>
        <v>6.66104481</v>
      </c>
      <c r="I73" s="0" t="n">
        <f aca="false">ABS(D73-E73)</f>
        <v>2.6136</v>
      </c>
      <c r="J73" s="0" t="n">
        <f aca="false">ABS(D73-F73)</f>
        <v>2.5809</v>
      </c>
    </row>
    <row r="74" customFormat="false" ht="12.8" hidden="false" customHeight="false" outlineLevel="0" collapsed="false">
      <c r="A74" s="0" t="n">
        <v>26.8</v>
      </c>
      <c r="B74" s="0" t="n">
        <v>33</v>
      </c>
      <c r="C74" s="0" t="n">
        <v>19.3</v>
      </c>
      <c r="D74" s="0" t="n">
        <v>8.8</v>
      </c>
      <c r="E74" s="0" t="n">
        <f aca="false">2.9+(0.04*A74)+(0.17*B74)+(0.002*C74)</f>
        <v>9.6206</v>
      </c>
      <c r="F74" s="0" t="n">
        <f aca="false">1.7+(0.09*A74)+(0.2*B74)+(0.017*C74)</f>
        <v>11.0401</v>
      </c>
      <c r="G74" s="0" t="n">
        <f aca="false">(D74-E74)^2</f>
        <v>0.673384360000001</v>
      </c>
      <c r="H74" s="0" t="n">
        <f aca="false">(D74-F74)^2</f>
        <v>5.01804800999999</v>
      </c>
      <c r="I74" s="0" t="n">
        <f aca="false">ABS(D74-E74)</f>
        <v>0.820600000000001</v>
      </c>
      <c r="J74" s="0" t="n">
        <f aca="false">ABS(D74-F74)</f>
        <v>2.2401</v>
      </c>
    </row>
    <row r="75" customFormat="false" ht="12.8" hidden="false" customHeight="false" outlineLevel="0" collapsed="false">
      <c r="A75" s="0" t="n">
        <v>129.4</v>
      </c>
      <c r="B75" s="0" t="n">
        <v>5.7</v>
      </c>
      <c r="C75" s="0" t="n">
        <v>31.3</v>
      </c>
      <c r="D75" s="0" t="n">
        <v>11</v>
      </c>
      <c r="E75" s="0" t="n">
        <f aca="false">2.9+(0.04*A75)+(0.17*B75)+(0.002*C75)</f>
        <v>9.1076</v>
      </c>
      <c r="F75" s="0" t="n">
        <f aca="false">1.7+(0.09*A75)+(0.2*B75)+(0.017*C75)</f>
        <v>15.0181</v>
      </c>
      <c r="G75" s="0" t="n">
        <f aca="false">(D75-E75)^2</f>
        <v>3.58117776</v>
      </c>
      <c r="H75" s="0" t="n">
        <f aca="false">(D75-F75)^2</f>
        <v>16.14512761</v>
      </c>
      <c r="I75" s="0" t="n">
        <f aca="false">ABS(D75-E75)</f>
        <v>1.8924</v>
      </c>
      <c r="J75" s="0" t="n">
        <f aca="false">ABS(D75-F75)</f>
        <v>4.0181</v>
      </c>
    </row>
    <row r="76" customFormat="false" ht="12.8" hidden="false" customHeight="false" outlineLevel="0" collapsed="false">
      <c r="A76" s="0" t="n">
        <v>213.4</v>
      </c>
      <c r="B76" s="0" t="n">
        <v>24.6</v>
      </c>
      <c r="C76" s="0" t="n">
        <v>13.1</v>
      </c>
      <c r="D76" s="0" t="n">
        <v>17</v>
      </c>
      <c r="E76" s="0" t="n">
        <f aca="false">2.9+(0.04*A76)+(0.17*B76)+(0.002*C76)</f>
        <v>15.6442</v>
      </c>
      <c r="F76" s="0" t="n">
        <f aca="false">1.7+(0.09*A76)+(0.2*B76)+(0.017*C76)</f>
        <v>26.0487</v>
      </c>
      <c r="G76" s="0" t="n">
        <f aca="false">(D76-E76)^2</f>
        <v>1.83819364</v>
      </c>
      <c r="H76" s="0" t="n">
        <f aca="false">(D76-F76)^2</f>
        <v>81.87897169</v>
      </c>
      <c r="I76" s="0" t="n">
        <f aca="false">ABS(D76-E76)</f>
        <v>1.3558</v>
      </c>
      <c r="J76" s="0" t="n">
        <f aca="false">ABS(D76-F76)</f>
        <v>9.0487</v>
      </c>
    </row>
    <row r="77" customFormat="false" ht="12.8" hidden="false" customHeight="false" outlineLevel="0" collapsed="false">
      <c r="A77" s="0" t="n">
        <v>16.9</v>
      </c>
      <c r="B77" s="0" t="n">
        <v>43.7</v>
      </c>
      <c r="C77" s="0" t="n">
        <v>89.4</v>
      </c>
      <c r="D77" s="0" t="n">
        <v>8.7</v>
      </c>
      <c r="E77" s="0" t="n">
        <f aca="false">2.9+(0.04*A77)+(0.17*B77)+(0.002*C77)</f>
        <v>11.1838</v>
      </c>
      <c r="F77" s="0" t="n">
        <f aca="false">1.7+(0.09*A77)+(0.2*B77)+(0.017*C77)</f>
        <v>13.4808</v>
      </c>
      <c r="G77" s="0" t="n">
        <f aca="false">(D77-E77)^2</f>
        <v>6.16926244000001</v>
      </c>
      <c r="H77" s="0" t="n">
        <f aca="false">(D77-F77)^2</f>
        <v>22.85604864</v>
      </c>
      <c r="I77" s="0" t="n">
        <f aca="false">ABS(D77-E77)</f>
        <v>2.4838</v>
      </c>
      <c r="J77" s="0" t="n">
        <f aca="false">ABS(D77-F77)</f>
        <v>4.7808</v>
      </c>
    </row>
    <row r="78" customFormat="false" ht="12.8" hidden="false" customHeight="false" outlineLevel="0" collapsed="false">
      <c r="A78" s="0" t="n">
        <v>27.5</v>
      </c>
      <c r="B78" s="0" t="n">
        <v>1.6</v>
      </c>
      <c r="C78" s="0" t="n">
        <v>20.7</v>
      </c>
      <c r="D78" s="0" t="n">
        <v>6.9</v>
      </c>
      <c r="E78" s="0" t="n">
        <f aca="false">2.9+(0.04*A78)+(0.17*B78)+(0.002*C78)</f>
        <v>4.3134</v>
      </c>
      <c r="F78" s="0" t="n">
        <f aca="false">1.7+(0.09*A78)+(0.2*B78)+(0.017*C78)</f>
        <v>4.8469</v>
      </c>
      <c r="G78" s="0" t="n">
        <f aca="false">(D78-E78)^2</f>
        <v>6.69049956</v>
      </c>
      <c r="H78" s="0" t="n">
        <f aca="false">(D78-F78)^2</f>
        <v>4.21521961</v>
      </c>
      <c r="I78" s="0" t="n">
        <f aca="false">ABS(D78-E78)</f>
        <v>2.5866</v>
      </c>
      <c r="J78" s="0" t="n">
        <f aca="false">ABS(D78-F78)</f>
        <v>2.0531</v>
      </c>
    </row>
    <row r="79" customFormat="false" ht="12.8" hidden="false" customHeight="false" outlineLevel="0" collapsed="false">
      <c r="A79" s="0" t="n">
        <v>120.5</v>
      </c>
      <c r="B79" s="0" t="n">
        <v>28.5</v>
      </c>
      <c r="C79" s="0" t="n">
        <v>14.2</v>
      </c>
      <c r="D79" s="0" t="n">
        <v>14.2</v>
      </c>
      <c r="E79" s="0" t="n">
        <f aca="false">2.9+(0.04*A79)+(0.17*B79)+(0.002*C79)</f>
        <v>12.5934</v>
      </c>
      <c r="F79" s="0" t="n">
        <f aca="false">1.7+(0.09*A79)+(0.2*B79)+(0.017*C79)</f>
        <v>18.4864</v>
      </c>
      <c r="G79" s="0" t="n">
        <f aca="false">(D79-E79)^2</f>
        <v>2.58116355999999</v>
      </c>
      <c r="H79" s="0" t="n">
        <f aca="false">(D79-F79)^2</f>
        <v>18.37322496</v>
      </c>
      <c r="I79" s="0" t="n">
        <f aca="false">ABS(D79-E79)</f>
        <v>1.6066</v>
      </c>
      <c r="J79" s="0" t="n">
        <f aca="false">ABS(D79-F79)</f>
        <v>4.2864</v>
      </c>
    </row>
    <row r="80" customFormat="false" ht="12.8" hidden="false" customHeight="false" outlineLevel="0" collapsed="false">
      <c r="A80" s="0" t="n">
        <v>5.4</v>
      </c>
      <c r="B80" s="0" t="n">
        <v>29.9</v>
      </c>
      <c r="C80" s="0" t="n">
        <v>9.4</v>
      </c>
      <c r="D80" s="0" t="n">
        <v>5.3</v>
      </c>
      <c r="E80" s="0" t="n">
        <f aca="false">2.9+(0.04*A80)+(0.17*B80)+(0.002*C80)</f>
        <v>8.2178</v>
      </c>
      <c r="F80" s="0" t="n">
        <f aca="false">1.7+(0.09*A80)+(0.2*B80)+(0.017*C80)</f>
        <v>8.3258</v>
      </c>
      <c r="G80" s="0" t="n">
        <f aca="false">(D80-E80)^2</f>
        <v>8.51355684</v>
      </c>
      <c r="H80" s="0" t="n">
        <f aca="false">(D80-F80)^2</f>
        <v>9.15546564000001</v>
      </c>
      <c r="I80" s="0" t="n">
        <f aca="false">ABS(D80-E80)</f>
        <v>2.9178</v>
      </c>
      <c r="J80" s="0" t="n">
        <f aca="false">ABS(D80-F80)</f>
        <v>3.0258</v>
      </c>
    </row>
    <row r="81" customFormat="false" ht="12.8" hidden="false" customHeight="false" outlineLevel="0" collapsed="false">
      <c r="A81" s="0" t="n">
        <v>116</v>
      </c>
      <c r="B81" s="0" t="n">
        <v>7.7</v>
      </c>
      <c r="C81" s="0" t="n">
        <v>23.1</v>
      </c>
      <c r="D81" s="0" t="n">
        <v>11</v>
      </c>
      <c r="E81" s="0" t="n">
        <f aca="false">2.9+(0.04*A81)+(0.17*B81)+(0.002*C81)</f>
        <v>8.8952</v>
      </c>
      <c r="F81" s="0" t="n">
        <f aca="false">1.7+(0.09*A81)+(0.2*B81)+(0.017*C81)</f>
        <v>14.0727</v>
      </c>
      <c r="G81" s="0" t="n">
        <f aca="false">(D81-E81)^2</f>
        <v>4.43018304</v>
      </c>
      <c r="H81" s="0" t="n">
        <f aca="false">(D81-F81)^2</f>
        <v>9.44148529</v>
      </c>
      <c r="I81" s="0" t="n">
        <f aca="false">ABS(D81-E81)</f>
        <v>2.1048</v>
      </c>
      <c r="J81" s="0" t="n">
        <f aca="false">ABS(D81-F81)</f>
        <v>3.0727</v>
      </c>
    </row>
    <row r="82" customFormat="false" ht="12.8" hidden="false" customHeight="false" outlineLevel="0" collapsed="false">
      <c r="A82" s="0" t="n">
        <v>76.4</v>
      </c>
      <c r="B82" s="0" t="n">
        <v>26.7</v>
      </c>
      <c r="C82" s="0" t="n">
        <v>22.3</v>
      </c>
      <c r="D82" s="0" t="n">
        <v>11.8</v>
      </c>
      <c r="E82" s="0" t="n">
        <f aca="false">2.9+(0.04*A82)+(0.17*B82)+(0.002*C82)</f>
        <v>10.5396</v>
      </c>
      <c r="F82" s="0" t="n">
        <f aca="false">1.7+(0.09*A82)+(0.2*B82)+(0.017*C82)</f>
        <v>14.2951</v>
      </c>
      <c r="G82" s="0" t="n">
        <f aca="false">(D82-E82)^2</f>
        <v>1.58860816</v>
      </c>
      <c r="H82" s="0" t="n">
        <f aca="false">(D82-F82)^2</f>
        <v>6.22552400999999</v>
      </c>
      <c r="I82" s="0" t="n">
        <f aca="false">ABS(D82-E82)</f>
        <v>1.2604</v>
      </c>
      <c r="J82" s="0" t="n">
        <f aca="false">ABS(D82-F82)</f>
        <v>2.4951</v>
      </c>
    </row>
    <row r="83" customFormat="false" ht="12.8" hidden="false" customHeight="false" outlineLevel="0" collapsed="false">
      <c r="A83" s="0" t="n">
        <v>239.8</v>
      </c>
      <c r="B83" s="0" t="n">
        <v>4.1</v>
      </c>
      <c r="C83" s="0" t="n">
        <v>36.9</v>
      </c>
      <c r="D83" s="0" t="n">
        <v>12.3</v>
      </c>
      <c r="E83" s="0" t="n">
        <f aca="false">2.9+(0.04*A83)+(0.17*B83)+(0.002*C83)</f>
        <v>13.2628</v>
      </c>
      <c r="F83" s="0" t="n">
        <f aca="false">1.7+(0.09*A83)+(0.2*B83)+(0.017*C83)</f>
        <v>24.7293</v>
      </c>
      <c r="G83" s="0" t="n">
        <f aca="false">(D83-E83)^2</f>
        <v>0.926983839999999</v>
      </c>
      <c r="H83" s="0" t="n">
        <f aca="false">(D83-F83)^2</f>
        <v>154.48749849</v>
      </c>
      <c r="I83" s="0" t="n">
        <f aca="false">ABS(D83-E83)</f>
        <v>0.9628</v>
      </c>
      <c r="J83" s="0" t="n">
        <f aca="false">ABS(D83-F83)</f>
        <v>12.4293</v>
      </c>
    </row>
    <row r="84" customFormat="false" ht="12.8" hidden="false" customHeight="false" outlineLevel="0" collapsed="false">
      <c r="A84" s="0" t="n">
        <v>75.3</v>
      </c>
      <c r="B84" s="0" t="n">
        <v>20.3</v>
      </c>
      <c r="C84" s="0" t="n">
        <v>32.5</v>
      </c>
      <c r="D84" s="0" t="n">
        <v>11.3</v>
      </c>
      <c r="E84" s="0" t="n">
        <f aca="false">2.9+(0.04*A84)+(0.17*B84)+(0.002*C84)</f>
        <v>9.428</v>
      </c>
      <c r="F84" s="0" t="n">
        <f aca="false">1.7+(0.09*A84)+(0.2*B84)+(0.017*C84)</f>
        <v>13.0895</v>
      </c>
      <c r="G84" s="0" t="n">
        <f aca="false">(D84-E84)^2</f>
        <v>3.50438400000001</v>
      </c>
      <c r="H84" s="0" t="n">
        <f aca="false">(D84-F84)^2</f>
        <v>3.20231024999999</v>
      </c>
      <c r="I84" s="0" t="n">
        <f aca="false">ABS(D84-E84)</f>
        <v>1.872</v>
      </c>
      <c r="J84" s="0" t="n">
        <f aca="false">ABS(D84-F84)</f>
        <v>1.7895</v>
      </c>
    </row>
    <row r="85" customFormat="false" ht="12.8" hidden="false" customHeight="false" outlineLevel="0" collapsed="false">
      <c r="A85" s="0" t="n">
        <v>68.4</v>
      </c>
      <c r="B85" s="0" t="n">
        <v>44.5</v>
      </c>
      <c r="C85" s="0" t="n">
        <v>35.6</v>
      </c>
      <c r="D85" s="0" t="n">
        <v>13.6</v>
      </c>
      <c r="E85" s="0" t="n">
        <f aca="false">2.9+(0.04*A85)+(0.17*B85)+(0.002*C85)</f>
        <v>13.2722</v>
      </c>
      <c r="F85" s="0" t="n">
        <f aca="false">1.7+(0.09*A85)+(0.2*B85)+(0.017*C85)</f>
        <v>17.3612</v>
      </c>
      <c r="G85" s="0" t="n">
        <f aca="false">(D85-E85)^2</f>
        <v>0.10745284</v>
      </c>
      <c r="H85" s="0" t="n">
        <f aca="false">(D85-F85)^2</f>
        <v>14.14662544</v>
      </c>
      <c r="I85" s="0" t="n">
        <f aca="false">ABS(D85-E85)</f>
        <v>0.3278</v>
      </c>
      <c r="J85" s="0" t="n">
        <f aca="false">ABS(D85-F85)</f>
        <v>3.7612</v>
      </c>
    </row>
    <row r="86" customFormat="false" ht="12.8" hidden="false" customHeight="false" outlineLevel="0" collapsed="false">
      <c r="A86" s="0" t="n">
        <v>213.5</v>
      </c>
      <c r="B86" s="0" t="n">
        <v>43</v>
      </c>
      <c r="C86" s="0" t="n">
        <v>33.8</v>
      </c>
      <c r="D86" s="0" t="n">
        <v>21.7</v>
      </c>
      <c r="E86" s="0" t="n">
        <f aca="false">2.9+(0.04*A86)+(0.17*B86)+(0.002*C86)</f>
        <v>18.8176</v>
      </c>
      <c r="F86" s="0" t="n">
        <f aca="false">1.7+(0.09*A86)+(0.2*B86)+(0.017*C86)</f>
        <v>30.0896</v>
      </c>
      <c r="G86" s="0" t="n">
        <f aca="false">(D86-E86)^2</f>
        <v>8.30822976</v>
      </c>
      <c r="H86" s="0" t="n">
        <f aca="false">(D86-F86)^2</f>
        <v>70.38538816</v>
      </c>
      <c r="I86" s="0" t="n">
        <f aca="false">ABS(D86-E86)</f>
        <v>2.8824</v>
      </c>
      <c r="J86" s="0" t="n">
        <f aca="false">ABS(D86-F86)</f>
        <v>8.3896</v>
      </c>
    </row>
    <row r="87" customFormat="false" ht="12.8" hidden="false" customHeight="false" outlineLevel="0" collapsed="false">
      <c r="A87" s="0" t="n">
        <v>193.2</v>
      </c>
      <c r="B87" s="0" t="n">
        <v>18.4</v>
      </c>
      <c r="C87" s="0" t="n">
        <v>65.7</v>
      </c>
      <c r="D87" s="0" t="n">
        <v>15.2</v>
      </c>
      <c r="E87" s="0" t="n">
        <f aca="false">2.9+(0.04*A87)+(0.17*B87)+(0.002*C87)</f>
        <v>13.8874</v>
      </c>
      <c r="F87" s="0" t="n">
        <f aca="false">1.7+(0.09*A87)+(0.2*B87)+(0.017*C87)</f>
        <v>23.8849</v>
      </c>
      <c r="G87" s="0" t="n">
        <f aca="false">(D87-E87)^2</f>
        <v>1.72291876</v>
      </c>
      <c r="H87" s="0" t="n">
        <f aca="false">(D87-F87)^2</f>
        <v>75.42748801</v>
      </c>
      <c r="I87" s="0" t="n">
        <f aca="false">ABS(D87-E87)</f>
        <v>1.3126</v>
      </c>
      <c r="J87" s="0" t="n">
        <f aca="false">ABS(D87-F87)</f>
        <v>8.6849</v>
      </c>
    </row>
    <row r="88" customFormat="false" ht="12.8" hidden="false" customHeight="false" outlineLevel="0" collapsed="false">
      <c r="A88" s="0" t="n">
        <v>76.3</v>
      </c>
      <c r="B88" s="0" t="n">
        <v>27.5</v>
      </c>
      <c r="C88" s="0" t="n">
        <v>16</v>
      </c>
      <c r="D88" s="0" t="n">
        <v>12</v>
      </c>
      <c r="E88" s="0" t="n">
        <f aca="false">2.9+(0.04*A88)+(0.17*B88)+(0.002*C88)</f>
        <v>10.659</v>
      </c>
      <c r="F88" s="0" t="n">
        <f aca="false">1.7+(0.09*A88)+(0.2*B88)+(0.017*C88)</f>
        <v>14.339</v>
      </c>
      <c r="G88" s="0" t="n">
        <f aca="false">(D88-E88)^2</f>
        <v>1.798281</v>
      </c>
      <c r="H88" s="0" t="n">
        <f aca="false">(D88-F88)^2</f>
        <v>5.47092099999999</v>
      </c>
      <c r="I88" s="0" t="n">
        <f aca="false">ABS(D88-E88)</f>
        <v>1.341</v>
      </c>
      <c r="J88" s="0" t="n">
        <f aca="false">ABS(D88-F88)</f>
        <v>2.339</v>
      </c>
    </row>
    <row r="89" customFormat="false" ht="12.8" hidden="false" customHeight="false" outlineLevel="0" collapsed="false">
      <c r="A89" s="0" t="n">
        <v>110.7</v>
      </c>
      <c r="B89" s="0" t="n">
        <v>40.6</v>
      </c>
      <c r="C89" s="0" t="n">
        <v>63.2</v>
      </c>
      <c r="D89" s="0" t="n">
        <v>16</v>
      </c>
      <c r="E89" s="0" t="n">
        <f aca="false">2.9+(0.04*A89)+(0.17*B89)+(0.002*C89)</f>
        <v>14.3564</v>
      </c>
      <c r="F89" s="0" t="n">
        <f aca="false">1.7+(0.09*A89)+(0.2*B89)+(0.017*C89)</f>
        <v>20.8574</v>
      </c>
      <c r="G89" s="0" t="n">
        <f aca="false">(D89-E89)^2</f>
        <v>2.70142096</v>
      </c>
      <c r="H89" s="0" t="n">
        <f aca="false">(D89-F89)^2</f>
        <v>23.59433476</v>
      </c>
      <c r="I89" s="0" t="n">
        <f aca="false">ABS(D89-E89)</f>
        <v>1.6436</v>
      </c>
      <c r="J89" s="0" t="n">
        <f aca="false">ABS(D89-F89)</f>
        <v>4.8574</v>
      </c>
    </row>
    <row r="90" customFormat="false" ht="12.8" hidden="false" customHeight="false" outlineLevel="0" collapsed="false">
      <c r="A90" s="0" t="n">
        <v>88.3</v>
      </c>
      <c r="B90" s="0" t="n">
        <v>25.5</v>
      </c>
      <c r="C90" s="0" t="n">
        <v>73.4</v>
      </c>
      <c r="D90" s="0" t="n">
        <v>12.9</v>
      </c>
      <c r="E90" s="0" t="n">
        <f aca="false">2.9+(0.04*A90)+(0.17*B90)+(0.002*C90)</f>
        <v>10.9138</v>
      </c>
      <c r="F90" s="0" t="n">
        <f aca="false">1.7+(0.09*A90)+(0.2*B90)+(0.017*C90)</f>
        <v>15.9948</v>
      </c>
      <c r="G90" s="0" t="n">
        <f aca="false">(D90-E90)^2</f>
        <v>3.94499044</v>
      </c>
      <c r="H90" s="0" t="n">
        <f aca="false">(D90-F90)^2</f>
        <v>9.57778704</v>
      </c>
      <c r="I90" s="0" t="n">
        <f aca="false">ABS(D90-E90)</f>
        <v>1.9862</v>
      </c>
      <c r="J90" s="0" t="n">
        <f aca="false">ABS(D90-F90)</f>
        <v>3.0948</v>
      </c>
    </row>
    <row r="91" customFormat="false" ht="12.8" hidden="false" customHeight="false" outlineLevel="0" collapsed="false">
      <c r="A91" s="0" t="n">
        <v>109.8</v>
      </c>
      <c r="B91" s="0" t="n">
        <v>47.8</v>
      </c>
      <c r="C91" s="0" t="n">
        <v>51.4</v>
      </c>
      <c r="D91" s="0" t="n">
        <v>16.7</v>
      </c>
      <c r="E91" s="0" t="n">
        <f aca="false">2.9+(0.04*A91)+(0.17*B91)+(0.002*C91)</f>
        <v>15.5208</v>
      </c>
      <c r="F91" s="0" t="n">
        <f aca="false">1.7+(0.09*A91)+(0.2*B91)+(0.017*C91)</f>
        <v>22.0158</v>
      </c>
      <c r="G91" s="0" t="n">
        <f aca="false">(D91-E91)^2</f>
        <v>1.39051264</v>
      </c>
      <c r="H91" s="0" t="n">
        <f aca="false">(D91-F91)^2</f>
        <v>28.25772964</v>
      </c>
      <c r="I91" s="0" t="n">
        <f aca="false">ABS(D91-E91)</f>
        <v>1.1792</v>
      </c>
      <c r="J91" s="0" t="n">
        <f aca="false">ABS(D91-F91)</f>
        <v>5.3158</v>
      </c>
    </row>
    <row r="92" customFormat="false" ht="12.8" hidden="false" customHeight="false" outlineLevel="0" collapsed="false">
      <c r="A92" s="0" t="n">
        <v>134.3</v>
      </c>
      <c r="B92" s="0" t="n">
        <v>4.9</v>
      </c>
      <c r="C92" s="0" t="n">
        <v>9.3</v>
      </c>
      <c r="D92" s="0" t="n">
        <v>11.2</v>
      </c>
      <c r="E92" s="0" t="n">
        <f aca="false">2.9+(0.04*A92)+(0.17*B92)+(0.002*C92)</f>
        <v>9.1236</v>
      </c>
      <c r="F92" s="0" t="n">
        <f aca="false">1.7+(0.09*A92)+(0.2*B92)+(0.017*C92)</f>
        <v>14.9251</v>
      </c>
      <c r="G92" s="0" t="n">
        <f aca="false">(D92-E92)^2</f>
        <v>4.31143696</v>
      </c>
      <c r="H92" s="0" t="n">
        <f aca="false">(D92-F92)^2</f>
        <v>13.87637001</v>
      </c>
      <c r="I92" s="0" t="n">
        <f aca="false">ABS(D92-E92)</f>
        <v>2.0764</v>
      </c>
      <c r="J92" s="0" t="n">
        <f aca="false">ABS(D92-F92)</f>
        <v>3.7251</v>
      </c>
    </row>
    <row r="93" customFormat="false" ht="12.8" hidden="false" customHeight="false" outlineLevel="0" collapsed="false">
      <c r="A93" s="0" t="n">
        <v>28.6</v>
      </c>
      <c r="B93" s="0" t="n">
        <v>1.5</v>
      </c>
      <c r="C93" s="0" t="n">
        <v>33</v>
      </c>
      <c r="D93" s="0" t="n">
        <v>7.3</v>
      </c>
      <c r="E93" s="0" t="n">
        <f aca="false">2.9+(0.04*A93)+(0.17*B93)+(0.002*C93)</f>
        <v>4.365</v>
      </c>
      <c r="F93" s="0" t="n">
        <f aca="false">1.7+(0.09*A93)+(0.2*B93)+(0.017*C93)</f>
        <v>5.135</v>
      </c>
      <c r="G93" s="0" t="n">
        <f aca="false">(D93-E93)^2</f>
        <v>8.614225</v>
      </c>
      <c r="H93" s="0" t="n">
        <f aca="false">(D93-F93)^2</f>
        <v>4.687225</v>
      </c>
      <c r="I93" s="0" t="n">
        <f aca="false">ABS(D93-E93)</f>
        <v>2.935</v>
      </c>
      <c r="J93" s="0" t="n">
        <f aca="false">ABS(D93-F93)</f>
        <v>2.165</v>
      </c>
    </row>
    <row r="94" customFormat="false" ht="12.8" hidden="false" customHeight="false" outlineLevel="0" collapsed="false">
      <c r="A94" s="0" t="n">
        <v>217.7</v>
      </c>
      <c r="B94" s="0" t="n">
        <v>33.5</v>
      </c>
      <c r="C94" s="0" t="n">
        <v>59</v>
      </c>
      <c r="D94" s="0" t="n">
        <v>19.4</v>
      </c>
      <c r="E94" s="0" t="n">
        <f aca="false">2.9+(0.04*A94)+(0.17*B94)+(0.002*C94)</f>
        <v>17.421</v>
      </c>
      <c r="F94" s="0" t="n">
        <f aca="false">1.7+(0.09*A94)+(0.2*B94)+(0.017*C94)</f>
        <v>28.996</v>
      </c>
      <c r="G94" s="0" t="n">
        <f aca="false">(D94-E94)^2</f>
        <v>3.916441</v>
      </c>
      <c r="H94" s="0" t="n">
        <f aca="false">(D94-F94)^2</f>
        <v>92.083216</v>
      </c>
      <c r="I94" s="0" t="n">
        <f aca="false">ABS(D94-E94)</f>
        <v>1.979</v>
      </c>
      <c r="J94" s="0" t="n">
        <f aca="false">ABS(D94-F94)</f>
        <v>9.596</v>
      </c>
    </row>
    <row r="95" customFormat="false" ht="12.8" hidden="false" customHeight="false" outlineLevel="0" collapsed="false">
      <c r="A95" s="0" t="n">
        <v>250.9</v>
      </c>
      <c r="B95" s="0" t="n">
        <v>36.5</v>
      </c>
      <c r="C95" s="0" t="n">
        <v>72.3</v>
      </c>
      <c r="D95" s="0" t="n">
        <v>22.2</v>
      </c>
      <c r="E95" s="0" t="n">
        <f aca="false">2.9+(0.04*A95)+(0.17*B95)+(0.002*C95)</f>
        <v>19.2856</v>
      </c>
      <c r="F95" s="0" t="n">
        <f aca="false">1.7+(0.09*A95)+(0.2*B95)+(0.017*C95)</f>
        <v>32.8101</v>
      </c>
      <c r="G95" s="0" t="n">
        <f aca="false">(D95-E95)^2</f>
        <v>8.49372736</v>
      </c>
      <c r="H95" s="0" t="n">
        <f aca="false">(D95-F95)^2</f>
        <v>112.57422201</v>
      </c>
      <c r="I95" s="0" t="n">
        <f aca="false">ABS(D95-E95)</f>
        <v>2.9144</v>
      </c>
      <c r="J95" s="0" t="n">
        <f aca="false">ABS(D95-F95)</f>
        <v>10.6101</v>
      </c>
    </row>
    <row r="96" customFormat="false" ht="12.8" hidden="false" customHeight="false" outlineLevel="0" collapsed="false">
      <c r="A96" s="0" t="n">
        <v>107.4</v>
      </c>
      <c r="B96" s="0" t="n">
        <v>14</v>
      </c>
      <c r="C96" s="0" t="n">
        <v>10.9</v>
      </c>
      <c r="D96" s="0" t="n">
        <v>11.5</v>
      </c>
      <c r="E96" s="0" t="n">
        <f aca="false">2.9+(0.04*A96)+(0.17*B96)+(0.002*C96)</f>
        <v>9.5978</v>
      </c>
      <c r="F96" s="0" t="n">
        <f aca="false">1.7+(0.09*A96)+(0.2*B96)+(0.017*C96)</f>
        <v>14.3513</v>
      </c>
      <c r="G96" s="0" t="n">
        <f aca="false">(D96-E96)^2</f>
        <v>3.61836484</v>
      </c>
      <c r="H96" s="0" t="n">
        <f aca="false">(D96-F96)^2</f>
        <v>8.12991169</v>
      </c>
      <c r="I96" s="0" t="n">
        <f aca="false">ABS(D96-E96)</f>
        <v>1.9022</v>
      </c>
      <c r="J96" s="0" t="n">
        <f aca="false">ABS(D96-F96)</f>
        <v>2.8513</v>
      </c>
    </row>
    <row r="97" customFormat="false" ht="12.8" hidden="false" customHeight="false" outlineLevel="0" collapsed="false">
      <c r="A97" s="0" t="n">
        <v>163.3</v>
      </c>
      <c r="B97" s="0" t="n">
        <v>31.6</v>
      </c>
      <c r="C97" s="0" t="n">
        <v>52.9</v>
      </c>
      <c r="D97" s="0" t="n">
        <v>16.9</v>
      </c>
      <c r="E97" s="0" t="n">
        <f aca="false">2.9+(0.04*A97)+(0.17*B97)+(0.002*C97)</f>
        <v>14.9098</v>
      </c>
      <c r="F97" s="0" t="n">
        <f aca="false">1.7+(0.09*A97)+(0.2*B97)+(0.017*C97)</f>
        <v>23.6163</v>
      </c>
      <c r="G97" s="0" t="n">
        <f aca="false">(D97-E97)^2</f>
        <v>3.96089603999998</v>
      </c>
      <c r="H97" s="0" t="n">
        <f aca="false">(D97-F97)^2</f>
        <v>45.1086856900001</v>
      </c>
      <c r="I97" s="0" t="n">
        <f aca="false">ABS(D97-E97)</f>
        <v>1.9902</v>
      </c>
      <c r="J97" s="0" t="n">
        <f aca="false">ABS(D97-F97)</f>
        <v>6.7163</v>
      </c>
    </row>
    <row r="98" customFormat="false" ht="12.8" hidden="false" customHeight="false" outlineLevel="0" collapsed="false">
      <c r="A98" s="0" t="n">
        <v>197.6</v>
      </c>
      <c r="B98" s="0" t="n">
        <v>3.5</v>
      </c>
      <c r="C98" s="0" t="n">
        <v>5.9</v>
      </c>
      <c r="D98" s="0" t="n">
        <v>11.7</v>
      </c>
      <c r="E98" s="0" t="n">
        <f aca="false">2.9+(0.04*A98)+(0.17*B98)+(0.002*C98)</f>
        <v>11.4108</v>
      </c>
      <c r="F98" s="0" t="n">
        <f aca="false">1.7+(0.09*A98)+(0.2*B98)+(0.017*C98)</f>
        <v>20.2843</v>
      </c>
      <c r="G98" s="0" t="n">
        <f aca="false">(D98-E98)^2</f>
        <v>0.0836366399999996</v>
      </c>
      <c r="H98" s="0" t="n">
        <f aca="false">(D98-F98)^2</f>
        <v>73.69020649</v>
      </c>
      <c r="I98" s="0" t="n">
        <f aca="false">ABS(D98-E98)</f>
        <v>0.289199999999999</v>
      </c>
      <c r="J98" s="0" t="n">
        <f aca="false">ABS(D98-F98)</f>
        <v>8.5843</v>
      </c>
    </row>
    <row r="99" customFormat="false" ht="12.8" hidden="false" customHeight="false" outlineLevel="0" collapsed="false">
      <c r="A99" s="0" t="n">
        <v>184.9</v>
      </c>
      <c r="B99" s="0" t="n">
        <v>21</v>
      </c>
      <c r="C99" s="0" t="n">
        <v>22</v>
      </c>
      <c r="D99" s="0" t="n">
        <v>15.5</v>
      </c>
      <c r="E99" s="0" t="n">
        <f aca="false">2.9+(0.04*A99)+(0.17*B99)+(0.002*C99)</f>
        <v>13.91</v>
      </c>
      <c r="F99" s="0" t="n">
        <f aca="false">1.7+(0.09*A99)+(0.2*B99)+(0.017*C99)</f>
        <v>22.915</v>
      </c>
      <c r="G99" s="0" t="n">
        <f aca="false">(D99-E99)^2</f>
        <v>2.52809999999999</v>
      </c>
      <c r="H99" s="0" t="n">
        <f aca="false">(D99-F99)^2</f>
        <v>54.9822249999999</v>
      </c>
      <c r="I99" s="0" t="n">
        <f aca="false">ABS(D99-E99)</f>
        <v>1.59</v>
      </c>
      <c r="J99" s="0" t="n">
        <f aca="false">ABS(D99-F99)</f>
        <v>7.415</v>
      </c>
    </row>
    <row r="100" customFormat="false" ht="12.8" hidden="false" customHeight="false" outlineLevel="0" collapsed="false">
      <c r="A100" s="0" t="n">
        <v>289.7</v>
      </c>
      <c r="B100" s="0" t="n">
        <v>42.3</v>
      </c>
      <c r="C100" s="0" t="n">
        <v>51.2</v>
      </c>
      <c r="D100" s="0" t="n">
        <v>25.4</v>
      </c>
      <c r="E100" s="0" t="n">
        <f aca="false">2.9+(0.04*A100)+(0.17*B100)+(0.002*C100)</f>
        <v>21.7814</v>
      </c>
      <c r="F100" s="0" t="n">
        <f aca="false">1.7+(0.09*A100)+(0.2*B100)+(0.017*C100)</f>
        <v>37.1034</v>
      </c>
      <c r="G100" s="0" t="n">
        <f aca="false">(D100-E100)^2</f>
        <v>13.09426596</v>
      </c>
      <c r="H100" s="0" t="n">
        <f aca="false">(D100-F100)^2</f>
        <v>136.96957156</v>
      </c>
      <c r="I100" s="0" t="n">
        <f aca="false">ABS(D100-E100)</f>
        <v>3.6186</v>
      </c>
      <c r="J100" s="0" t="n">
        <f aca="false">ABS(D100-F100)</f>
        <v>11.7034</v>
      </c>
    </row>
    <row r="101" customFormat="false" ht="12.8" hidden="false" customHeight="false" outlineLevel="0" collapsed="false">
      <c r="A101" s="0" t="n">
        <v>135.2</v>
      </c>
      <c r="B101" s="0" t="n">
        <v>41.7</v>
      </c>
      <c r="C101" s="0" t="n">
        <v>45.9</v>
      </c>
      <c r="D101" s="0" t="n">
        <v>17.2</v>
      </c>
      <c r="E101" s="0" t="n">
        <f aca="false">2.9+(0.04*A101)+(0.17*B101)+(0.002*C101)</f>
        <v>15.4888</v>
      </c>
      <c r="F101" s="0" t="n">
        <f aca="false">1.7+(0.09*A101)+(0.2*B101)+(0.017*C101)</f>
        <v>22.9883</v>
      </c>
      <c r="G101" s="0" t="n">
        <f aca="false">(D101-E101)^2</f>
        <v>2.92820543999999</v>
      </c>
      <c r="H101" s="0" t="n">
        <f aca="false">(D101-F101)^2</f>
        <v>33.50441689</v>
      </c>
      <c r="I101" s="0" t="n">
        <f aca="false">ABS(D101-E101)</f>
        <v>1.7112</v>
      </c>
      <c r="J101" s="0" t="n">
        <f aca="false">ABS(D101-F101)</f>
        <v>5.7883</v>
      </c>
    </row>
    <row r="102" customFormat="false" ht="12.8" hidden="false" customHeight="false" outlineLevel="0" collapsed="false">
      <c r="A102" s="0" t="n">
        <v>222.4</v>
      </c>
      <c r="B102" s="0" t="n">
        <v>4.3</v>
      </c>
      <c r="C102" s="0" t="n">
        <v>49.8</v>
      </c>
      <c r="D102" s="0" t="n">
        <v>11.7</v>
      </c>
      <c r="E102" s="0" t="n">
        <f aca="false">2.9+(0.04*A102)+(0.17*B102)+(0.002*C102)</f>
        <v>12.6266</v>
      </c>
      <c r="F102" s="0" t="n">
        <f aca="false">1.7+(0.09*A102)+(0.2*B102)+(0.017*C102)</f>
        <v>23.4226</v>
      </c>
      <c r="G102" s="0" t="n">
        <f aca="false">(D102-E102)^2</f>
        <v>0.858587560000004</v>
      </c>
      <c r="H102" s="0" t="n">
        <f aca="false">(D102-F102)^2</f>
        <v>137.41935076</v>
      </c>
      <c r="I102" s="0" t="n">
        <f aca="false">ABS(D102-E102)</f>
        <v>0.926600000000002</v>
      </c>
      <c r="J102" s="0" t="n">
        <f aca="false">ABS(D102-F102)</f>
        <v>11.7226</v>
      </c>
    </row>
    <row r="103" customFormat="false" ht="12.8" hidden="false" customHeight="false" outlineLevel="0" collapsed="false">
      <c r="A103" s="0" t="n">
        <v>296.4</v>
      </c>
      <c r="B103" s="0" t="n">
        <v>36.3</v>
      </c>
      <c r="C103" s="0" t="n">
        <v>100.9</v>
      </c>
      <c r="D103" s="0" t="n">
        <v>23.8</v>
      </c>
      <c r="E103" s="0" t="n">
        <f aca="false">2.9+(0.04*A103)+(0.17*B103)+(0.002*C103)</f>
        <v>21.1288</v>
      </c>
      <c r="F103" s="0" t="n">
        <f aca="false">1.7+(0.09*A103)+(0.2*B103)+(0.017*C103)</f>
        <v>37.3513</v>
      </c>
      <c r="G103" s="0" t="n">
        <f aca="false">(D103-E103)^2</f>
        <v>7.13530944000001</v>
      </c>
      <c r="H103" s="0" t="n">
        <f aca="false">(D103-F103)^2</f>
        <v>183.63773169</v>
      </c>
      <c r="I103" s="0" t="n">
        <f aca="false">ABS(D103-E103)</f>
        <v>2.6712</v>
      </c>
      <c r="J103" s="0" t="n">
        <f aca="false">ABS(D103-F103)</f>
        <v>13.5513</v>
      </c>
    </row>
    <row r="104" customFormat="false" ht="12.8" hidden="false" customHeight="false" outlineLevel="0" collapsed="false">
      <c r="A104" s="0" t="n">
        <v>280.2</v>
      </c>
      <c r="B104" s="0" t="n">
        <v>10.1</v>
      </c>
      <c r="C104" s="0" t="n">
        <v>21.4</v>
      </c>
      <c r="D104" s="0" t="n">
        <v>14.8</v>
      </c>
      <c r="E104" s="0" t="n">
        <f aca="false">2.9+(0.04*A104)+(0.17*B104)+(0.002*C104)</f>
        <v>15.8678</v>
      </c>
      <c r="F104" s="0" t="n">
        <f aca="false">1.7+(0.09*A104)+(0.2*B104)+(0.017*C104)</f>
        <v>29.3018</v>
      </c>
      <c r="G104" s="0" t="n">
        <f aca="false">(D104-E104)^2</f>
        <v>1.14019684</v>
      </c>
      <c r="H104" s="0" t="n">
        <f aca="false">(D104-F104)^2</f>
        <v>210.30220324</v>
      </c>
      <c r="I104" s="0" t="n">
        <f aca="false">ABS(D104-E104)</f>
        <v>1.0678</v>
      </c>
      <c r="J104" s="0" t="n">
        <f aca="false">ABS(D104-F104)</f>
        <v>14.5018</v>
      </c>
    </row>
    <row r="105" customFormat="false" ht="12.8" hidden="false" customHeight="false" outlineLevel="0" collapsed="false">
      <c r="A105" s="0" t="n">
        <v>187.9</v>
      </c>
      <c r="B105" s="0" t="n">
        <v>17.2</v>
      </c>
      <c r="C105" s="0" t="n">
        <v>17.9</v>
      </c>
      <c r="D105" s="0" t="n">
        <v>14.7</v>
      </c>
      <c r="E105" s="0" t="n">
        <f aca="false">2.9+(0.04*A105)+(0.17*B105)+(0.002*C105)</f>
        <v>13.3758</v>
      </c>
      <c r="F105" s="0" t="n">
        <f aca="false">1.7+(0.09*A105)+(0.2*B105)+(0.017*C105)</f>
        <v>22.3553</v>
      </c>
      <c r="G105" s="0" t="n">
        <f aca="false">(D105-E105)^2</f>
        <v>1.75350564</v>
      </c>
      <c r="H105" s="0" t="n">
        <f aca="false">(D105-F105)^2</f>
        <v>58.6036180900001</v>
      </c>
      <c r="I105" s="0" t="n">
        <f aca="false">ABS(D105-E105)</f>
        <v>1.3242</v>
      </c>
      <c r="J105" s="0" t="n">
        <f aca="false">ABS(D105-F105)</f>
        <v>7.6553</v>
      </c>
    </row>
    <row r="106" customFormat="false" ht="12.8" hidden="false" customHeight="false" outlineLevel="0" collapsed="false">
      <c r="A106" s="0" t="n">
        <v>238.2</v>
      </c>
      <c r="B106" s="0" t="n">
        <v>34.3</v>
      </c>
      <c r="C106" s="0" t="n">
        <v>5.3</v>
      </c>
      <c r="D106" s="0" t="n">
        <v>20.7</v>
      </c>
      <c r="E106" s="0" t="n">
        <f aca="false">2.9+(0.04*A106)+(0.17*B106)+(0.002*C106)</f>
        <v>18.2696</v>
      </c>
      <c r="F106" s="0" t="n">
        <f aca="false">1.7+(0.09*A106)+(0.2*B106)+(0.017*C106)</f>
        <v>30.0881</v>
      </c>
      <c r="G106" s="0" t="n">
        <f aca="false">(D106-E106)^2</f>
        <v>5.90684415999999</v>
      </c>
      <c r="H106" s="0" t="n">
        <f aca="false">(D106-F106)^2</f>
        <v>88.13642161</v>
      </c>
      <c r="I106" s="0" t="n">
        <f aca="false">ABS(D106-E106)</f>
        <v>2.4304</v>
      </c>
      <c r="J106" s="0" t="n">
        <f aca="false">ABS(D106-F106)</f>
        <v>9.3881</v>
      </c>
    </row>
    <row r="107" customFormat="false" ht="12.8" hidden="false" customHeight="false" outlineLevel="0" collapsed="false">
      <c r="A107" s="0" t="n">
        <v>137.9</v>
      </c>
      <c r="B107" s="0" t="n">
        <v>46.4</v>
      </c>
      <c r="C107" s="0" t="n">
        <v>59</v>
      </c>
      <c r="D107" s="0" t="n">
        <v>19.2</v>
      </c>
      <c r="E107" s="0" t="n">
        <f aca="false">2.9+(0.04*A107)+(0.17*B107)+(0.002*C107)</f>
        <v>16.422</v>
      </c>
      <c r="F107" s="0" t="n">
        <f aca="false">1.7+(0.09*A107)+(0.2*B107)+(0.017*C107)</f>
        <v>24.394</v>
      </c>
      <c r="G107" s="0" t="n">
        <f aca="false">(D107-E107)^2</f>
        <v>7.71728399999999</v>
      </c>
      <c r="H107" s="0" t="n">
        <f aca="false">(D107-F107)^2</f>
        <v>26.977636</v>
      </c>
      <c r="I107" s="0" t="n">
        <f aca="false">ABS(D107-E107)</f>
        <v>2.778</v>
      </c>
      <c r="J107" s="0" t="n">
        <f aca="false">ABS(D107-F107)</f>
        <v>5.194</v>
      </c>
    </row>
    <row r="108" customFormat="false" ht="12.8" hidden="false" customHeight="false" outlineLevel="0" collapsed="false">
      <c r="A108" s="0" t="n">
        <v>25</v>
      </c>
      <c r="B108" s="0" t="n">
        <v>11</v>
      </c>
      <c r="C108" s="0" t="n">
        <v>29.7</v>
      </c>
      <c r="D108" s="0" t="n">
        <v>7.2</v>
      </c>
      <c r="E108" s="0" t="n">
        <f aca="false">2.9+(0.04*A108)+(0.17*B108)+(0.002*C108)</f>
        <v>5.8294</v>
      </c>
      <c r="F108" s="0" t="n">
        <f aca="false">1.7+(0.09*A108)+(0.2*B108)+(0.017*C108)</f>
        <v>6.6549</v>
      </c>
      <c r="G108" s="0" t="n">
        <f aca="false">(D108-E108)^2</f>
        <v>1.87854436</v>
      </c>
      <c r="H108" s="0" t="n">
        <f aca="false">(D108-F108)^2</f>
        <v>0.29713401</v>
      </c>
      <c r="I108" s="0" t="n">
        <f aca="false">ABS(D108-E108)</f>
        <v>1.3706</v>
      </c>
      <c r="J108" s="0" t="n">
        <f aca="false">ABS(D108-F108)</f>
        <v>0.5451</v>
      </c>
    </row>
    <row r="109" customFormat="false" ht="12.8" hidden="false" customHeight="false" outlineLevel="0" collapsed="false">
      <c r="A109" s="0" t="n">
        <v>90.4</v>
      </c>
      <c r="B109" s="0" t="n">
        <v>0.3</v>
      </c>
      <c r="C109" s="0" t="n">
        <v>23.2</v>
      </c>
      <c r="D109" s="0" t="n">
        <v>8.7</v>
      </c>
      <c r="E109" s="0" t="n">
        <f aca="false">2.9+(0.04*A109)+(0.17*B109)+(0.002*C109)</f>
        <v>6.6134</v>
      </c>
      <c r="F109" s="0" t="n">
        <f aca="false">1.7+(0.09*A109)+(0.2*B109)+(0.017*C109)</f>
        <v>10.2904</v>
      </c>
      <c r="G109" s="0" t="n">
        <f aca="false">(D109-E109)^2</f>
        <v>4.35389956</v>
      </c>
      <c r="H109" s="0" t="n">
        <f aca="false">(D109-F109)^2</f>
        <v>2.52937216</v>
      </c>
      <c r="I109" s="0" t="n">
        <f aca="false">ABS(D109-E109)</f>
        <v>2.0866</v>
      </c>
      <c r="J109" s="0" t="n">
        <f aca="false">ABS(D109-F109)</f>
        <v>1.5904</v>
      </c>
    </row>
    <row r="110" customFormat="false" ht="12.8" hidden="false" customHeight="false" outlineLevel="0" collapsed="false">
      <c r="A110" s="0" t="n">
        <v>13.1</v>
      </c>
      <c r="B110" s="0" t="n">
        <v>0.4</v>
      </c>
      <c r="C110" s="0" t="n">
        <v>25.6</v>
      </c>
      <c r="D110" s="0" t="n">
        <v>5.3</v>
      </c>
      <c r="E110" s="0" t="n">
        <f aca="false">2.9+(0.04*A110)+(0.17*B110)+(0.002*C110)</f>
        <v>3.5432</v>
      </c>
      <c r="F110" s="0" t="n">
        <f aca="false">1.7+(0.09*A110)+(0.2*B110)+(0.017*C110)</f>
        <v>3.3942</v>
      </c>
      <c r="G110" s="0" t="n">
        <f aca="false">(D110-E110)^2</f>
        <v>3.08634624</v>
      </c>
      <c r="H110" s="0" t="n">
        <f aca="false">(D110-F110)^2</f>
        <v>3.63207364</v>
      </c>
      <c r="I110" s="0" t="n">
        <f aca="false">ABS(D110-E110)</f>
        <v>1.7568</v>
      </c>
      <c r="J110" s="0" t="n">
        <f aca="false">ABS(D110-F110)</f>
        <v>1.9058</v>
      </c>
    </row>
    <row r="111" customFormat="false" ht="12.8" hidden="false" customHeight="false" outlineLevel="0" collapsed="false">
      <c r="A111" s="0" t="n">
        <v>255.4</v>
      </c>
      <c r="B111" s="0" t="n">
        <v>26.9</v>
      </c>
      <c r="C111" s="0" t="n">
        <v>5.5</v>
      </c>
      <c r="D111" s="0" t="n">
        <v>19.8</v>
      </c>
      <c r="E111" s="0" t="n">
        <f aca="false">2.9+(0.04*A111)+(0.17*B111)+(0.002*C111)</f>
        <v>17.7</v>
      </c>
      <c r="F111" s="0" t="n">
        <f aca="false">1.7+(0.09*A111)+(0.2*B111)+(0.017*C111)</f>
        <v>30.1595</v>
      </c>
      <c r="G111" s="0" t="n">
        <f aca="false">(D111-E111)^2</f>
        <v>4.41000000000001</v>
      </c>
      <c r="H111" s="0" t="n">
        <f aca="false">(D111-F111)^2</f>
        <v>107.31924025</v>
      </c>
      <c r="I111" s="0" t="n">
        <f aca="false">ABS(D111-E111)</f>
        <v>2.1</v>
      </c>
      <c r="J111" s="0" t="n">
        <f aca="false">ABS(D111-F111)</f>
        <v>10.3595</v>
      </c>
    </row>
    <row r="112" customFormat="false" ht="12.8" hidden="false" customHeight="false" outlineLevel="0" collapsed="false">
      <c r="A112" s="0" t="n">
        <v>225.8</v>
      </c>
      <c r="B112" s="0" t="n">
        <v>8.2</v>
      </c>
      <c r="C112" s="0" t="n">
        <v>56.5</v>
      </c>
      <c r="D112" s="0" t="n">
        <v>13.4</v>
      </c>
      <c r="E112" s="0" t="n">
        <f aca="false">2.9+(0.04*A112)+(0.17*B112)+(0.002*C112)</f>
        <v>13.439</v>
      </c>
      <c r="F112" s="0" t="n">
        <f aca="false">1.7+(0.09*A112)+(0.2*B112)+(0.017*C112)</f>
        <v>24.6225</v>
      </c>
      <c r="G112" s="0" t="n">
        <f aca="false">(D112-E112)^2</f>
        <v>0.00152099999999998</v>
      </c>
      <c r="H112" s="0" t="n">
        <f aca="false">(D112-F112)^2</f>
        <v>125.94450625</v>
      </c>
      <c r="I112" s="0" t="n">
        <f aca="false">ABS(D112-E112)</f>
        <v>0.0389999999999997</v>
      </c>
      <c r="J112" s="0" t="n">
        <f aca="false">ABS(D112-F112)</f>
        <v>11.2225</v>
      </c>
    </row>
    <row r="113" customFormat="false" ht="12.8" hidden="false" customHeight="false" outlineLevel="0" collapsed="false">
      <c r="A113" s="0" t="n">
        <v>241.7</v>
      </c>
      <c r="B113" s="0" t="n">
        <v>38</v>
      </c>
      <c r="C113" s="0" t="n">
        <v>23.2</v>
      </c>
      <c r="D113" s="0" t="n">
        <v>21.8</v>
      </c>
      <c r="E113" s="0" t="n">
        <f aca="false">2.9+(0.04*A113)+(0.17*B113)+(0.002*C113)</f>
        <v>19.0744</v>
      </c>
      <c r="F113" s="0" t="n">
        <f aca="false">1.7+(0.09*A113)+(0.2*B113)+(0.017*C113)</f>
        <v>31.4474</v>
      </c>
      <c r="G113" s="0" t="n">
        <f aca="false">(D113-E113)^2</f>
        <v>7.42889536000002</v>
      </c>
      <c r="H113" s="0" t="n">
        <f aca="false">(D113-F113)^2</f>
        <v>93.0723267599999</v>
      </c>
      <c r="I113" s="0" t="n">
        <f aca="false">ABS(D113-E113)</f>
        <v>2.7256</v>
      </c>
      <c r="J113" s="0" t="n">
        <f aca="false">ABS(D113-F113)</f>
        <v>9.6474</v>
      </c>
    </row>
    <row r="114" customFormat="false" ht="12.8" hidden="false" customHeight="false" outlineLevel="0" collapsed="false">
      <c r="A114" s="0" t="n">
        <v>175.7</v>
      </c>
      <c r="B114" s="0" t="n">
        <v>15.4</v>
      </c>
      <c r="C114" s="0" t="n">
        <v>2.4</v>
      </c>
      <c r="D114" s="0" t="n">
        <v>14.1</v>
      </c>
      <c r="E114" s="0" t="n">
        <f aca="false">2.9+(0.04*A114)+(0.17*B114)+(0.002*C114)</f>
        <v>12.5508</v>
      </c>
      <c r="F114" s="0" t="n">
        <f aca="false">1.7+(0.09*A114)+(0.2*B114)+(0.017*C114)</f>
        <v>20.6338</v>
      </c>
      <c r="G114" s="0" t="n">
        <f aca="false">(D114-E114)^2</f>
        <v>2.40002064</v>
      </c>
      <c r="H114" s="0" t="n">
        <f aca="false">(D114-F114)^2</f>
        <v>42.69054244</v>
      </c>
      <c r="I114" s="0" t="n">
        <f aca="false">ABS(D114-E114)</f>
        <v>1.5492</v>
      </c>
      <c r="J114" s="0" t="n">
        <f aca="false">ABS(D114-F114)</f>
        <v>6.5338</v>
      </c>
    </row>
    <row r="115" customFormat="false" ht="12.8" hidden="false" customHeight="false" outlineLevel="0" collapsed="false">
      <c r="A115" s="0" t="n">
        <v>209.6</v>
      </c>
      <c r="B115" s="0" t="n">
        <v>20.6</v>
      </c>
      <c r="C115" s="0" t="n">
        <v>10.7</v>
      </c>
      <c r="D115" s="0" t="n">
        <v>15.9</v>
      </c>
      <c r="E115" s="0" t="n">
        <f aca="false">2.9+(0.04*A115)+(0.17*B115)+(0.002*C115)</f>
        <v>14.8074</v>
      </c>
      <c r="F115" s="0" t="n">
        <f aca="false">1.7+(0.09*A115)+(0.2*B115)+(0.017*C115)</f>
        <v>24.8659</v>
      </c>
      <c r="G115" s="0" t="n">
        <f aca="false">(D115-E115)^2</f>
        <v>1.19377476</v>
      </c>
      <c r="H115" s="0" t="n">
        <f aca="false">(D115-F115)^2</f>
        <v>80.3873628099999</v>
      </c>
      <c r="I115" s="0" t="n">
        <f aca="false">ABS(D115-E115)</f>
        <v>1.0926</v>
      </c>
      <c r="J115" s="0" t="n">
        <f aca="false">ABS(D115-F115)</f>
        <v>8.9659</v>
      </c>
    </row>
    <row r="116" customFormat="false" ht="12.8" hidden="false" customHeight="false" outlineLevel="0" collapsed="false">
      <c r="A116" s="0" t="n">
        <v>78.2</v>
      </c>
      <c r="B116" s="0" t="n">
        <v>46.8</v>
      </c>
      <c r="C116" s="0" t="n">
        <v>34.5</v>
      </c>
      <c r="D116" s="0" t="n">
        <v>14.6</v>
      </c>
      <c r="E116" s="0" t="n">
        <f aca="false">2.9+(0.04*A116)+(0.17*B116)+(0.002*C116)</f>
        <v>14.053</v>
      </c>
      <c r="F116" s="0" t="n">
        <f aca="false">1.7+(0.09*A116)+(0.2*B116)+(0.017*C116)</f>
        <v>18.6845</v>
      </c>
      <c r="G116" s="0" t="n">
        <f aca="false">(D116-E116)^2</f>
        <v>0.299208999999997</v>
      </c>
      <c r="H116" s="0" t="n">
        <f aca="false">(D116-F116)^2</f>
        <v>16.68314025</v>
      </c>
      <c r="I116" s="0" t="n">
        <f aca="false">ABS(D116-E116)</f>
        <v>0.546999999999997</v>
      </c>
      <c r="J116" s="0" t="n">
        <f aca="false">ABS(D116-F116)</f>
        <v>4.0845</v>
      </c>
    </row>
    <row r="117" customFormat="false" ht="12.8" hidden="false" customHeight="false" outlineLevel="0" collapsed="false">
      <c r="A117" s="0" t="n">
        <v>75.1</v>
      </c>
      <c r="B117" s="0" t="n">
        <v>35</v>
      </c>
      <c r="C117" s="0" t="n">
        <v>52.7</v>
      </c>
      <c r="D117" s="0" t="n">
        <v>12.6</v>
      </c>
      <c r="E117" s="0" t="n">
        <f aca="false">2.9+(0.04*A117)+(0.17*B117)+(0.002*C117)</f>
        <v>11.9594</v>
      </c>
      <c r="F117" s="0" t="n">
        <f aca="false">1.7+(0.09*A117)+(0.2*B117)+(0.017*C117)</f>
        <v>16.3549</v>
      </c>
      <c r="G117" s="0" t="n">
        <f aca="false">(D117-E117)^2</f>
        <v>0.410368360000001</v>
      </c>
      <c r="H117" s="0" t="n">
        <f aca="false">(D117-F117)^2</f>
        <v>14.09927401</v>
      </c>
      <c r="I117" s="0" t="n">
        <f aca="false">ABS(D117-E117)</f>
        <v>0.640600000000001</v>
      </c>
      <c r="J117" s="0" t="n">
        <f aca="false">ABS(D117-F117)</f>
        <v>3.7549</v>
      </c>
    </row>
    <row r="118" customFormat="false" ht="12.8" hidden="false" customHeight="false" outlineLevel="0" collapsed="false">
      <c r="A118" s="0" t="n">
        <v>139.2</v>
      </c>
      <c r="B118" s="0" t="n">
        <v>14.3</v>
      </c>
      <c r="C118" s="0" t="n">
        <v>25.6</v>
      </c>
      <c r="D118" s="0" t="n">
        <v>12.2</v>
      </c>
      <c r="E118" s="0" t="n">
        <f aca="false">2.9+(0.04*A118)+(0.17*B118)+(0.002*C118)</f>
        <v>10.9502</v>
      </c>
      <c r="F118" s="0" t="n">
        <f aca="false">1.7+(0.09*A118)+(0.2*B118)+(0.017*C118)</f>
        <v>17.5232</v>
      </c>
      <c r="G118" s="0" t="n">
        <f aca="false">(D118-E118)^2</f>
        <v>1.56200004</v>
      </c>
      <c r="H118" s="0" t="n">
        <f aca="false">(D118-F118)^2</f>
        <v>28.33645824</v>
      </c>
      <c r="I118" s="0" t="n">
        <f aca="false">ABS(D118-E118)</f>
        <v>1.2498</v>
      </c>
      <c r="J118" s="0" t="n">
        <f aca="false">ABS(D118-F118)</f>
        <v>5.3232</v>
      </c>
    </row>
    <row r="119" customFormat="false" ht="12.8" hidden="false" customHeight="false" outlineLevel="0" collapsed="false">
      <c r="A119" s="0" t="n">
        <v>76.4</v>
      </c>
      <c r="B119" s="0" t="n">
        <v>0.8</v>
      </c>
      <c r="C119" s="0" t="n">
        <v>14.8</v>
      </c>
      <c r="D119" s="0" t="n">
        <v>9.4</v>
      </c>
      <c r="E119" s="0" t="n">
        <f aca="false">2.9+(0.04*A119)+(0.17*B119)+(0.002*C119)</f>
        <v>6.1216</v>
      </c>
      <c r="F119" s="0" t="n">
        <f aca="false">1.7+(0.09*A119)+(0.2*B119)+(0.017*C119)</f>
        <v>8.9876</v>
      </c>
      <c r="G119" s="0" t="n">
        <f aca="false">(D119-E119)^2</f>
        <v>10.74790656</v>
      </c>
      <c r="H119" s="0" t="n">
        <f aca="false">(D119-F119)^2</f>
        <v>0.17007376</v>
      </c>
      <c r="I119" s="0" t="n">
        <f aca="false">ABS(D119-E119)</f>
        <v>3.2784</v>
      </c>
      <c r="J119" s="0" t="n">
        <f aca="false">ABS(D119-F119)</f>
        <v>0.4124</v>
      </c>
    </row>
    <row r="120" customFormat="false" ht="12.8" hidden="false" customHeight="false" outlineLevel="0" collapsed="false">
      <c r="A120" s="0" t="n">
        <v>125.7</v>
      </c>
      <c r="B120" s="0" t="n">
        <v>36.9</v>
      </c>
      <c r="C120" s="0" t="n">
        <v>79.2</v>
      </c>
      <c r="D120" s="0" t="n">
        <v>15.9</v>
      </c>
      <c r="E120" s="0" t="n">
        <f aca="false">2.9+(0.04*A120)+(0.17*B120)+(0.002*C120)</f>
        <v>14.3594</v>
      </c>
      <c r="F120" s="0" t="n">
        <f aca="false">1.7+(0.09*A120)+(0.2*B120)+(0.017*C120)</f>
        <v>21.7394</v>
      </c>
      <c r="G120" s="0" t="n">
        <f aca="false">(D120-E120)^2</f>
        <v>2.37344836</v>
      </c>
      <c r="H120" s="0" t="n">
        <f aca="false">(D120-F120)^2</f>
        <v>34.09859236</v>
      </c>
      <c r="I120" s="0" t="n">
        <f aca="false">ABS(D120-E120)</f>
        <v>1.5406</v>
      </c>
      <c r="J120" s="0" t="n">
        <f aca="false">ABS(D120-F120)</f>
        <v>5.8394</v>
      </c>
    </row>
    <row r="121" customFormat="false" ht="12.8" hidden="false" customHeight="false" outlineLevel="0" collapsed="false">
      <c r="A121" s="0" t="n">
        <v>19.4</v>
      </c>
      <c r="B121" s="0" t="n">
        <v>16</v>
      </c>
      <c r="C121" s="0" t="n">
        <v>22.3</v>
      </c>
      <c r="D121" s="0" t="n">
        <v>6.6</v>
      </c>
      <c r="E121" s="0" t="n">
        <f aca="false">2.9+(0.04*A121)+(0.17*B121)+(0.002*C121)</f>
        <v>6.4406</v>
      </c>
      <c r="F121" s="0" t="n">
        <f aca="false">1.7+(0.09*A121)+(0.2*B121)+(0.017*C121)</f>
        <v>7.0251</v>
      </c>
      <c r="G121" s="0" t="n">
        <f aca="false">(D121-E121)^2</f>
        <v>0.0254083599999999</v>
      </c>
      <c r="H121" s="0" t="n">
        <f aca="false">(D121-F121)^2</f>
        <v>0.18071001</v>
      </c>
      <c r="I121" s="0" t="n">
        <f aca="false">ABS(D121-E121)</f>
        <v>0.1594</v>
      </c>
      <c r="J121" s="0" t="n">
        <f aca="false">ABS(D121-F121)</f>
        <v>0.425100000000001</v>
      </c>
    </row>
    <row r="122" customFormat="false" ht="12.8" hidden="false" customHeight="false" outlineLevel="0" collapsed="false">
      <c r="A122" s="0" t="n">
        <v>141.3</v>
      </c>
      <c r="B122" s="0" t="n">
        <v>26.8</v>
      </c>
      <c r="C122" s="0" t="n">
        <v>46.2</v>
      </c>
      <c r="D122" s="0" t="n">
        <v>15.5</v>
      </c>
      <c r="E122" s="0" t="n">
        <f aca="false">2.9+(0.04*A122)+(0.17*B122)+(0.002*C122)</f>
        <v>13.2004</v>
      </c>
      <c r="F122" s="0" t="n">
        <f aca="false">1.7+(0.09*A122)+(0.2*B122)+(0.017*C122)</f>
        <v>20.5624</v>
      </c>
      <c r="G122" s="0" t="n">
        <f aca="false">(D122-E122)^2</f>
        <v>5.28816016</v>
      </c>
      <c r="H122" s="0" t="n">
        <f aca="false">(D122-F122)^2</f>
        <v>25.62789376</v>
      </c>
      <c r="I122" s="0" t="n">
        <f aca="false">ABS(D122-E122)</f>
        <v>2.2996</v>
      </c>
      <c r="J122" s="0" t="n">
        <f aca="false">ABS(D122-F122)</f>
        <v>5.0624</v>
      </c>
    </row>
    <row r="123" customFormat="false" ht="12.8" hidden="false" customHeight="false" outlineLevel="0" collapsed="false">
      <c r="A123" s="0" t="n">
        <v>18.8</v>
      </c>
      <c r="B123" s="0" t="n">
        <v>21.7</v>
      </c>
      <c r="C123" s="0" t="n">
        <v>50.4</v>
      </c>
      <c r="D123" s="0" t="n">
        <v>7</v>
      </c>
      <c r="E123" s="0" t="n">
        <f aca="false">2.9+(0.04*A123)+(0.17*B123)+(0.002*C123)</f>
        <v>7.4418</v>
      </c>
      <c r="F123" s="0" t="n">
        <f aca="false">1.7+(0.09*A123)+(0.2*B123)+(0.017*C123)</f>
        <v>8.5888</v>
      </c>
      <c r="G123" s="0" t="n">
        <f aca="false">(D123-E123)^2</f>
        <v>0.195187240000001</v>
      </c>
      <c r="H123" s="0" t="n">
        <f aca="false">(D123-F123)^2</f>
        <v>2.52428544</v>
      </c>
      <c r="I123" s="0" t="n">
        <f aca="false">ABS(D123-E123)</f>
        <v>0.441800000000001</v>
      </c>
      <c r="J123" s="0" t="n">
        <f aca="false">ABS(D123-F123)</f>
        <v>1.5888</v>
      </c>
    </row>
    <row r="124" customFormat="false" ht="12.8" hidden="false" customHeight="false" outlineLevel="0" collapsed="false">
      <c r="A124" s="0" t="n">
        <v>224</v>
      </c>
      <c r="B124" s="0" t="n">
        <v>2.4</v>
      </c>
      <c r="C124" s="0" t="n">
        <v>15.6</v>
      </c>
      <c r="D124" s="0" t="n">
        <v>11.6</v>
      </c>
      <c r="E124" s="0" t="n">
        <f aca="false">2.9+(0.04*A124)+(0.17*B124)+(0.002*C124)</f>
        <v>12.2992</v>
      </c>
      <c r="F124" s="0" t="n">
        <f aca="false">1.7+(0.09*A124)+(0.2*B124)+(0.017*C124)</f>
        <v>22.6052</v>
      </c>
      <c r="G124" s="0" t="n">
        <f aca="false">(D124-E124)^2</f>
        <v>0.488880640000002</v>
      </c>
      <c r="H124" s="0" t="n">
        <f aca="false">(D124-F124)^2</f>
        <v>121.11442704</v>
      </c>
      <c r="I124" s="0" t="n">
        <f aca="false">ABS(D124-E124)</f>
        <v>0.699200000000001</v>
      </c>
      <c r="J124" s="0" t="n">
        <f aca="false">ABS(D124-F124)</f>
        <v>11.0052</v>
      </c>
    </row>
    <row r="125" customFormat="false" ht="12.8" hidden="false" customHeight="false" outlineLevel="0" collapsed="false">
      <c r="A125" s="0" t="n">
        <v>123.1</v>
      </c>
      <c r="B125" s="0" t="n">
        <v>34.6</v>
      </c>
      <c r="C125" s="0" t="n">
        <v>12.4</v>
      </c>
      <c r="D125" s="0" t="n">
        <v>15.2</v>
      </c>
      <c r="E125" s="0" t="n">
        <f aca="false">2.9+(0.04*A125)+(0.17*B125)+(0.002*C125)</f>
        <v>13.7308</v>
      </c>
      <c r="F125" s="0" t="n">
        <f aca="false">1.7+(0.09*A125)+(0.2*B125)+(0.017*C125)</f>
        <v>19.9098</v>
      </c>
      <c r="G125" s="0" t="n">
        <f aca="false">(D125-E125)^2</f>
        <v>2.15854864</v>
      </c>
      <c r="H125" s="0" t="n">
        <f aca="false">(D125-F125)^2</f>
        <v>22.18221604</v>
      </c>
      <c r="I125" s="0" t="n">
        <f aca="false">ABS(D125-E125)</f>
        <v>1.4692</v>
      </c>
      <c r="J125" s="0" t="n">
        <f aca="false">ABS(D125-F125)</f>
        <v>4.7098</v>
      </c>
    </row>
    <row r="126" customFormat="false" ht="12.8" hidden="false" customHeight="false" outlineLevel="0" collapsed="false">
      <c r="A126" s="0" t="n">
        <v>229.5</v>
      </c>
      <c r="B126" s="0" t="n">
        <v>32.3</v>
      </c>
      <c r="C126" s="0" t="n">
        <v>74.2</v>
      </c>
      <c r="D126" s="0" t="n">
        <v>19.7</v>
      </c>
      <c r="E126" s="0" t="n">
        <f aca="false">2.9+(0.04*A126)+(0.17*B126)+(0.002*C126)</f>
        <v>17.7194</v>
      </c>
      <c r="F126" s="0" t="n">
        <f aca="false">1.7+(0.09*A126)+(0.2*B126)+(0.017*C126)</f>
        <v>30.0764</v>
      </c>
      <c r="G126" s="0" t="n">
        <f aca="false">(D126-E126)^2</f>
        <v>3.92277636000001</v>
      </c>
      <c r="H126" s="0" t="n">
        <f aca="false">(D126-F126)^2</f>
        <v>107.66967696</v>
      </c>
      <c r="I126" s="0" t="n">
        <f aca="false">ABS(D126-E126)</f>
        <v>1.9806</v>
      </c>
      <c r="J126" s="0" t="n">
        <f aca="false">ABS(D126-F126)</f>
        <v>10.3764</v>
      </c>
    </row>
    <row r="127" customFormat="false" ht="12.8" hidden="false" customHeight="false" outlineLevel="0" collapsed="false">
      <c r="A127" s="0" t="n">
        <v>87.2</v>
      </c>
      <c r="B127" s="0" t="n">
        <v>11.8</v>
      </c>
      <c r="C127" s="0" t="n">
        <v>25.9</v>
      </c>
      <c r="D127" s="0" t="n">
        <v>10.6</v>
      </c>
      <c r="E127" s="0" t="n">
        <f aca="false">2.9+(0.04*A127)+(0.17*B127)+(0.002*C127)</f>
        <v>8.4458</v>
      </c>
      <c r="F127" s="0" t="n">
        <f aca="false">1.7+(0.09*A127)+(0.2*B127)+(0.017*C127)</f>
        <v>12.3483</v>
      </c>
      <c r="G127" s="0" t="n">
        <f aca="false">(D127-E127)^2</f>
        <v>4.64057764</v>
      </c>
      <c r="H127" s="0" t="n">
        <f aca="false">(D127-F127)^2</f>
        <v>3.05655289000001</v>
      </c>
      <c r="I127" s="0" t="n">
        <f aca="false">ABS(D127-E127)</f>
        <v>2.1542</v>
      </c>
      <c r="J127" s="0" t="n">
        <f aca="false">ABS(D127-F127)</f>
        <v>1.7483</v>
      </c>
    </row>
    <row r="128" customFormat="false" ht="12.8" hidden="false" customHeight="false" outlineLevel="0" collapsed="false">
      <c r="A128" s="0" t="n">
        <v>7.8</v>
      </c>
      <c r="B128" s="0" t="n">
        <v>38.9</v>
      </c>
      <c r="C128" s="0" t="n">
        <v>50.6</v>
      </c>
      <c r="D128" s="0" t="n">
        <v>6.6</v>
      </c>
      <c r="E128" s="0" t="n">
        <f aca="false">2.9+(0.04*A128)+(0.17*B128)+(0.002*C128)</f>
        <v>9.9262</v>
      </c>
      <c r="F128" s="0" t="n">
        <f aca="false">1.7+(0.09*A128)+(0.2*B128)+(0.017*C128)</f>
        <v>11.0422</v>
      </c>
      <c r="G128" s="0" t="n">
        <f aca="false">(D128-E128)^2</f>
        <v>11.06360644</v>
      </c>
      <c r="H128" s="0" t="n">
        <f aca="false">(D128-F128)^2</f>
        <v>19.73314084</v>
      </c>
      <c r="I128" s="0" t="n">
        <f aca="false">ABS(D128-E128)</f>
        <v>3.3262</v>
      </c>
      <c r="J128" s="0" t="n">
        <f aca="false">ABS(D128-F128)</f>
        <v>4.4422</v>
      </c>
    </row>
    <row r="129" customFormat="false" ht="12.8" hidden="false" customHeight="false" outlineLevel="0" collapsed="false">
      <c r="A129" s="0" t="n">
        <v>80.2</v>
      </c>
      <c r="B129" s="0" t="n">
        <v>0</v>
      </c>
      <c r="C129" s="0" t="n">
        <v>9.2</v>
      </c>
      <c r="D129" s="0" t="n">
        <v>8.8</v>
      </c>
      <c r="E129" s="0" t="n">
        <f aca="false">2.9+(0.04*A129)+(0.17*B129)+(0.002*C129)</f>
        <v>6.1264</v>
      </c>
      <c r="F129" s="0" t="n">
        <f aca="false">1.7+(0.09*A129)+(0.2*B129)+(0.017*C129)</f>
        <v>9.0744</v>
      </c>
      <c r="G129" s="0" t="n">
        <f aca="false">(D129-E129)^2</f>
        <v>7.14813696</v>
      </c>
      <c r="H129" s="0" t="n">
        <f aca="false">(D129-F129)^2</f>
        <v>0.075295359999999</v>
      </c>
      <c r="I129" s="0" t="n">
        <f aca="false">ABS(D129-E129)</f>
        <v>2.6736</v>
      </c>
      <c r="J129" s="0" t="n">
        <f aca="false">ABS(D129-F129)</f>
        <v>0.274399999999998</v>
      </c>
    </row>
    <row r="130" customFormat="false" ht="12.8" hidden="false" customHeight="false" outlineLevel="0" collapsed="false">
      <c r="A130" s="0" t="n">
        <v>220.3</v>
      </c>
      <c r="B130" s="0" t="n">
        <v>49</v>
      </c>
      <c r="C130" s="0" t="n">
        <v>3.2</v>
      </c>
      <c r="D130" s="0" t="n">
        <v>24.7</v>
      </c>
      <c r="E130" s="0" t="n">
        <f aca="false">2.9+(0.04*A130)+(0.17*B130)+(0.002*C130)</f>
        <v>20.0484</v>
      </c>
      <c r="F130" s="0" t="n">
        <f aca="false">1.7+(0.09*A130)+(0.2*B130)+(0.017*C130)</f>
        <v>31.3814</v>
      </c>
      <c r="G130" s="0" t="n">
        <f aca="false">(D130-E130)^2</f>
        <v>21.63738256</v>
      </c>
      <c r="H130" s="0" t="n">
        <f aca="false">(D130-F130)^2</f>
        <v>44.6411059600001</v>
      </c>
      <c r="I130" s="0" t="n">
        <f aca="false">ABS(D130-E130)</f>
        <v>4.6516</v>
      </c>
      <c r="J130" s="0" t="n">
        <f aca="false">ABS(D130-F130)</f>
        <v>6.6814</v>
      </c>
    </row>
    <row r="131" customFormat="false" ht="12.8" hidden="false" customHeight="false" outlineLevel="0" collapsed="false">
      <c r="A131" s="0" t="n">
        <v>59.6</v>
      </c>
      <c r="B131" s="0" t="n">
        <v>12</v>
      </c>
      <c r="C131" s="0" t="n">
        <v>43.1</v>
      </c>
      <c r="D131" s="0" t="n">
        <v>9.7</v>
      </c>
      <c r="E131" s="0" t="n">
        <f aca="false">2.9+(0.04*A131)+(0.17*B131)+(0.002*C131)</f>
        <v>7.4102</v>
      </c>
      <c r="F131" s="0" t="n">
        <f aca="false">1.7+(0.09*A131)+(0.2*B131)+(0.017*C131)</f>
        <v>10.1967</v>
      </c>
      <c r="G131" s="0" t="n">
        <f aca="false">(D131-E131)^2</f>
        <v>5.24318404</v>
      </c>
      <c r="H131" s="0" t="n">
        <f aca="false">(D131-F131)^2</f>
        <v>0.246710890000001</v>
      </c>
      <c r="I131" s="0" t="n">
        <f aca="false">ABS(D131-E131)</f>
        <v>2.2898</v>
      </c>
      <c r="J131" s="0" t="n">
        <f aca="false">ABS(D131-F131)</f>
        <v>0.496700000000001</v>
      </c>
    </row>
    <row r="132" customFormat="false" ht="12.8" hidden="false" customHeight="false" outlineLevel="0" collapsed="false">
      <c r="A132" s="0" t="n">
        <v>0.7</v>
      </c>
      <c r="B132" s="0" t="n">
        <v>39.6</v>
      </c>
      <c r="C132" s="0" t="n">
        <v>8.7</v>
      </c>
      <c r="D132" s="0" t="n">
        <v>1.6</v>
      </c>
      <c r="E132" s="0" t="n">
        <f aca="false">2.9+(0.04*A132)+(0.17*B132)+(0.002*C132)</f>
        <v>9.6774</v>
      </c>
      <c r="F132" s="0" t="n">
        <f aca="false">1.7+(0.09*A132)+(0.2*B132)+(0.017*C132)</f>
        <v>9.8309</v>
      </c>
      <c r="G132" s="0" t="n">
        <f aca="false">(D132-E132)^2</f>
        <v>65.24439076</v>
      </c>
      <c r="H132" s="0" t="n">
        <f aca="false">(D132-F132)^2</f>
        <v>67.74771481</v>
      </c>
      <c r="I132" s="0" t="n">
        <f aca="false">ABS(D132-E132)</f>
        <v>8.0774</v>
      </c>
      <c r="J132" s="0" t="n">
        <f aca="false">ABS(D132-F132)</f>
        <v>8.2309</v>
      </c>
    </row>
    <row r="133" customFormat="false" ht="12.8" hidden="false" customHeight="false" outlineLevel="0" collapsed="false">
      <c r="A133" s="0" t="n">
        <v>265.2</v>
      </c>
      <c r="B133" s="0" t="n">
        <v>2.9</v>
      </c>
      <c r="C133" s="0" t="n">
        <v>43</v>
      </c>
      <c r="D133" s="0" t="n">
        <v>12.7</v>
      </c>
      <c r="E133" s="0" t="n">
        <f aca="false">2.9+(0.04*A133)+(0.17*B133)+(0.002*C133)</f>
        <v>14.087</v>
      </c>
      <c r="F133" s="0" t="n">
        <f aca="false">1.7+(0.09*A133)+(0.2*B133)+(0.017*C133)</f>
        <v>26.879</v>
      </c>
      <c r="G133" s="0" t="n">
        <f aca="false">(D133-E133)^2</f>
        <v>1.92376900000001</v>
      </c>
      <c r="H133" s="0" t="n">
        <f aca="false">(D133-F133)^2</f>
        <v>201.044041</v>
      </c>
      <c r="I133" s="0" t="n">
        <f aca="false">ABS(D133-E133)</f>
        <v>1.387</v>
      </c>
      <c r="J133" s="0" t="n">
        <f aca="false">ABS(D133-F133)</f>
        <v>14.179</v>
      </c>
    </row>
    <row r="134" customFormat="false" ht="12.8" hidden="false" customHeight="false" outlineLevel="0" collapsed="false">
      <c r="A134" s="0" t="n">
        <v>8.4</v>
      </c>
      <c r="B134" s="0" t="n">
        <v>27.2</v>
      </c>
      <c r="C134" s="0" t="n">
        <v>2.1</v>
      </c>
      <c r="D134" s="0" t="n">
        <v>5.7</v>
      </c>
      <c r="E134" s="0" t="n">
        <f aca="false">2.9+(0.04*A134)+(0.17*B134)+(0.002*C134)</f>
        <v>7.8642</v>
      </c>
      <c r="F134" s="0" t="n">
        <f aca="false">1.7+(0.09*A134)+(0.2*B134)+(0.017*C134)</f>
        <v>7.9317</v>
      </c>
      <c r="G134" s="0" t="n">
        <f aca="false">(D134-E134)^2</f>
        <v>4.68376164</v>
      </c>
      <c r="H134" s="0" t="n">
        <f aca="false">(D134-F134)^2</f>
        <v>4.98048489</v>
      </c>
      <c r="I134" s="0" t="n">
        <f aca="false">ABS(D134-E134)</f>
        <v>2.1642</v>
      </c>
      <c r="J134" s="0" t="n">
        <f aca="false">ABS(D134-F134)</f>
        <v>2.2317</v>
      </c>
    </row>
    <row r="135" customFormat="false" ht="12.8" hidden="false" customHeight="false" outlineLevel="0" collapsed="false">
      <c r="A135" s="0" t="n">
        <v>219.8</v>
      </c>
      <c r="B135" s="0" t="n">
        <v>33.5</v>
      </c>
      <c r="C135" s="0" t="n">
        <v>45.1</v>
      </c>
      <c r="D135" s="0" t="n">
        <v>19.6</v>
      </c>
      <c r="E135" s="0" t="n">
        <f aca="false">2.9+(0.04*A135)+(0.17*B135)+(0.002*C135)</f>
        <v>17.4772</v>
      </c>
      <c r="F135" s="0" t="n">
        <f aca="false">1.7+(0.09*A135)+(0.2*B135)+(0.017*C135)</f>
        <v>28.9487</v>
      </c>
      <c r="G135" s="0" t="n">
        <f aca="false">(D135-E135)^2</f>
        <v>4.50627984000001</v>
      </c>
      <c r="H135" s="0" t="n">
        <f aca="false">(D135-F135)^2</f>
        <v>87.39819169</v>
      </c>
      <c r="I135" s="0" t="n">
        <f aca="false">ABS(D135-E135)</f>
        <v>2.1228</v>
      </c>
      <c r="J135" s="0" t="n">
        <f aca="false">ABS(D135-F135)</f>
        <v>9.3487</v>
      </c>
    </row>
    <row r="136" customFormat="false" ht="12.8" hidden="false" customHeight="false" outlineLevel="0" collapsed="false">
      <c r="A136" s="0" t="n">
        <v>36.9</v>
      </c>
      <c r="B136" s="0" t="n">
        <v>38.6</v>
      </c>
      <c r="C136" s="0" t="n">
        <v>65.6</v>
      </c>
      <c r="D136" s="0" t="n">
        <v>10.8</v>
      </c>
      <c r="E136" s="0" t="n">
        <f aca="false">2.9+(0.04*A136)+(0.17*B136)+(0.002*C136)</f>
        <v>11.0692</v>
      </c>
      <c r="F136" s="0" t="n">
        <f aca="false">1.7+(0.09*A136)+(0.2*B136)+(0.017*C136)</f>
        <v>13.8562</v>
      </c>
      <c r="G136" s="0" t="n">
        <f aca="false">(D136-E136)^2</f>
        <v>0.0724686399999989</v>
      </c>
      <c r="H136" s="0" t="n">
        <f aca="false">(D136-F136)^2</f>
        <v>9.34035843999999</v>
      </c>
      <c r="I136" s="0" t="n">
        <f aca="false">ABS(D136-E136)</f>
        <v>0.269199999999998</v>
      </c>
      <c r="J136" s="0" t="n">
        <f aca="false">ABS(D136-F136)</f>
        <v>3.0562</v>
      </c>
    </row>
    <row r="137" customFormat="false" ht="12.8" hidden="false" customHeight="false" outlineLevel="0" collapsed="false">
      <c r="A137" s="0" t="n">
        <v>48.3</v>
      </c>
      <c r="B137" s="0" t="n">
        <v>47</v>
      </c>
      <c r="C137" s="0" t="n">
        <v>8.5</v>
      </c>
      <c r="D137" s="0" t="n">
        <v>11.6</v>
      </c>
      <c r="E137" s="0" t="n">
        <f aca="false">2.9+(0.04*A137)+(0.17*B137)+(0.002*C137)</f>
        <v>12.839</v>
      </c>
      <c r="F137" s="0" t="n">
        <f aca="false">1.7+(0.09*A137)+(0.2*B137)+(0.017*C137)</f>
        <v>15.5915</v>
      </c>
      <c r="G137" s="0" t="n">
        <f aca="false">(D137-E137)^2</f>
        <v>1.535121</v>
      </c>
      <c r="H137" s="0" t="n">
        <f aca="false">(D137-F137)^2</f>
        <v>15.93207225</v>
      </c>
      <c r="I137" s="0" t="n">
        <f aca="false">ABS(D137-E137)</f>
        <v>1.239</v>
      </c>
      <c r="J137" s="0" t="n">
        <f aca="false">ABS(D137-F137)</f>
        <v>3.9915</v>
      </c>
    </row>
    <row r="138" customFormat="false" ht="12.8" hidden="false" customHeight="false" outlineLevel="0" collapsed="false">
      <c r="A138" s="0" t="n">
        <v>25.6</v>
      </c>
      <c r="B138" s="0" t="n">
        <v>39</v>
      </c>
      <c r="C138" s="0" t="n">
        <v>9.3</v>
      </c>
      <c r="D138" s="0" t="n">
        <v>9.5</v>
      </c>
      <c r="E138" s="0" t="n">
        <f aca="false">2.9+(0.04*A138)+(0.17*B138)+(0.002*C138)</f>
        <v>10.5726</v>
      </c>
      <c r="F138" s="0" t="n">
        <f aca="false">1.7+(0.09*A138)+(0.2*B138)+(0.017*C138)</f>
        <v>11.9621</v>
      </c>
      <c r="G138" s="0" t="n">
        <f aca="false">(D138-E138)^2</f>
        <v>1.15047076</v>
      </c>
      <c r="H138" s="0" t="n">
        <f aca="false">(D138-F138)^2</f>
        <v>6.06193641</v>
      </c>
      <c r="I138" s="0" t="n">
        <f aca="false">ABS(D138-E138)</f>
        <v>1.0726</v>
      </c>
      <c r="J138" s="0" t="n">
        <f aca="false">ABS(D138-F138)</f>
        <v>2.4621</v>
      </c>
    </row>
    <row r="139" customFormat="false" ht="12.8" hidden="false" customHeight="false" outlineLevel="0" collapsed="false">
      <c r="A139" s="0" t="n">
        <v>273.7</v>
      </c>
      <c r="B139" s="0" t="n">
        <v>28.9</v>
      </c>
      <c r="C139" s="0" t="n">
        <v>59.7</v>
      </c>
      <c r="D139" s="0" t="n">
        <v>20.8</v>
      </c>
      <c r="E139" s="0" t="n">
        <f aca="false">2.9+(0.04*A139)+(0.17*B139)+(0.002*C139)</f>
        <v>18.8804</v>
      </c>
      <c r="F139" s="0" t="n">
        <f aca="false">1.7+(0.09*A139)+(0.2*B139)+(0.017*C139)</f>
        <v>33.1279</v>
      </c>
      <c r="G139" s="0" t="n">
        <f aca="false">(D139-E139)^2</f>
        <v>3.68486416</v>
      </c>
      <c r="H139" s="0" t="n">
        <f aca="false">(D139-F139)^2</f>
        <v>151.97711841</v>
      </c>
      <c r="I139" s="0" t="n">
        <f aca="false">ABS(D139-E139)</f>
        <v>1.9196</v>
      </c>
      <c r="J139" s="0" t="n">
        <f aca="false">ABS(D139-F139)</f>
        <v>12.3279</v>
      </c>
    </row>
    <row r="140" customFormat="false" ht="12.8" hidden="false" customHeight="false" outlineLevel="0" collapsed="false">
      <c r="A140" s="0" t="n">
        <v>43</v>
      </c>
      <c r="B140" s="0" t="n">
        <v>25.9</v>
      </c>
      <c r="C140" s="0" t="n">
        <v>20.5</v>
      </c>
      <c r="D140" s="0" t="n">
        <v>9.6</v>
      </c>
      <c r="E140" s="0" t="n">
        <f aca="false">2.9+(0.04*A140)+(0.17*B140)+(0.002*C140)</f>
        <v>9.064</v>
      </c>
      <c r="F140" s="0" t="n">
        <f aca="false">1.7+(0.09*A140)+(0.2*B140)+(0.017*C140)</f>
        <v>11.0985</v>
      </c>
      <c r="G140" s="0" t="n">
        <f aca="false">(D140-E140)^2</f>
        <v>0.287296</v>
      </c>
      <c r="H140" s="0" t="n">
        <f aca="false">(D140-F140)^2</f>
        <v>2.24550225</v>
      </c>
      <c r="I140" s="0" t="n">
        <f aca="false">ABS(D140-E140)</f>
        <v>0.536</v>
      </c>
      <c r="J140" s="0" t="n">
        <f aca="false">ABS(D140-F140)</f>
        <v>1.4985</v>
      </c>
    </row>
    <row r="141" customFormat="false" ht="12.8" hidden="false" customHeight="false" outlineLevel="0" collapsed="false">
      <c r="A141" s="0" t="n">
        <v>184.9</v>
      </c>
      <c r="B141" s="0" t="n">
        <v>43.9</v>
      </c>
      <c r="C141" s="0" t="n">
        <v>1.7</v>
      </c>
      <c r="D141" s="0" t="n">
        <v>20.7</v>
      </c>
      <c r="E141" s="0" t="n">
        <f aca="false">2.9+(0.04*A141)+(0.17*B141)+(0.002*C141)</f>
        <v>17.7624</v>
      </c>
      <c r="F141" s="0" t="n">
        <f aca="false">1.7+(0.09*A141)+(0.2*B141)+(0.017*C141)</f>
        <v>27.1499</v>
      </c>
      <c r="G141" s="0" t="n">
        <f aca="false">(D141-E141)^2</f>
        <v>8.62949376</v>
      </c>
      <c r="H141" s="0" t="n">
        <f aca="false">(D141-F141)^2</f>
        <v>41.60121001</v>
      </c>
      <c r="I141" s="0" t="n">
        <f aca="false">ABS(D141-E141)</f>
        <v>2.9376</v>
      </c>
      <c r="J141" s="0" t="n">
        <f aca="false">ABS(D141-F141)</f>
        <v>6.4499</v>
      </c>
    </row>
    <row r="142" customFormat="false" ht="12.8" hidden="false" customHeight="false" outlineLevel="0" collapsed="false">
      <c r="A142" s="0" t="n">
        <v>73.4</v>
      </c>
      <c r="B142" s="0" t="n">
        <v>17</v>
      </c>
      <c r="C142" s="0" t="n">
        <v>12.9</v>
      </c>
      <c r="D142" s="0" t="n">
        <v>10.9</v>
      </c>
      <c r="E142" s="0" t="n">
        <f aca="false">2.9+(0.04*A142)+(0.17*B142)+(0.002*C142)</f>
        <v>8.7518</v>
      </c>
      <c r="F142" s="0" t="n">
        <f aca="false">1.7+(0.09*A142)+(0.2*B142)+(0.017*C142)</f>
        <v>11.9253</v>
      </c>
      <c r="G142" s="0" t="n">
        <f aca="false">(D142-E142)^2</f>
        <v>4.61476324</v>
      </c>
      <c r="H142" s="0" t="n">
        <f aca="false">(D142-F142)^2</f>
        <v>1.05124009</v>
      </c>
      <c r="I142" s="0" t="n">
        <f aca="false">ABS(D142-E142)</f>
        <v>2.1482</v>
      </c>
      <c r="J142" s="0" t="n">
        <f aca="false">ABS(D142-F142)</f>
        <v>1.0253</v>
      </c>
    </row>
    <row r="143" customFormat="false" ht="12.8" hidden="false" customHeight="false" outlineLevel="0" collapsed="false">
      <c r="A143" s="0" t="n">
        <v>193.7</v>
      </c>
      <c r="B143" s="0" t="n">
        <v>35.4</v>
      </c>
      <c r="C143" s="0" t="n">
        <v>75.6</v>
      </c>
      <c r="D143" s="0" t="n">
        <v>19.2</v>
      </c>
      <c r="E143" s="0" t="n">
        <f aca="false">2.9+(0.04*A143)+(0.17*B143)+(0.002*C143)</f>
        <v>16.8172</v>
      </c>
      <c r="F143" s="0" t="n">
        <f aca="false">1.7+(0.09*A143)+(0.2*B143)+(0.017*C143)</f>
        <v>27.4982</v>
      </c>
      <c r="G143" s="0" t="n">
        <f aca="false">(D143-E143)^2</f>
        <v>5.67773584</v>
      </c>
      <c r="H143" s="0" t="n">
        <f aca="false">(D143-F143)^2</f>
        <v>68.86012324</v>
      </c>
      <c r="I143" s="0" t="n">
        <f aca="false">ABS(D143-E143)</f>
        <v>2.3828</v>
      </c>
      <c r="J143" s="0" t="n">
        <f aca="false">ABS(D143-F143)</f>
        <v>8.2982</v>
      </c>
    </row>
    <row r="144" customFormat="false" ht="12.8" hidden="false" customHeight="false" outlineLevel="0" collapsed="false">
      <c r="A144" s="0" t="n">
        <v>220.5</v>
      </c>
      <c r="B144" s="0" t="n">
        <v>33.2</v>
      </c>
      <c r="C144" s="0" t="n">
        <v>37.9</v>
      </c>
      <c r="D144" s="0" t="n">
        <v>20.1</v>
      </c>
      <c r="E144" s="0" t="n">
        <f aca="false">2.9+(0.04*A144)+(0.17*B144)+(0.002*C144)</f>
        <v>17.4398</v>
      </c>
      <c r="F144" s="0" t="n">
        <f aca="false">1.7+(0.09*A144)+(0.2*B144)+(0.017*C144)</f>
        <v>28.8293</v>
      </c>
      <c r="G144" s="0" t="n">
        <f aca="false">(D144-E144)^2</f>
        <v>7.07666404</v>
      </c>
      <c r="H144" s="0" t="n">
        <f aca="false">(D144-F144)^2</f>
        <v>76.20067849</v>
      </c>
      <c r="I144" s="0" t="n">
        <f aca="false">ABS(D144-E144)</f>
        <v>2.6602</v>
      </c>
      <c r="J144" s="0" t="n">
        <f aca="false">ABS(D144-F144)</f>
        <v>8.7293</v>
      </c>
    </row>
    <row r="145" customFormat="false" ht="12.8" hidden="false" customHeight="false" outlineLevel="0" collapsed="false">
      <c r="A145" s="0" t="n">
        <v>104.6</v>
      </c>
      <c r="B145" s="0" t="n">
        <v>5.7</v>
      </c>
      <c r="C145" s="0" t="n">
        <v>34.4</v>
      </c>
      <c r="D145" s="0" t="n">
        <v>10.4</v>
      </c>
      <c r="E145" s="0" t="n">
        <f aca="false">2.9+(0.04*A145)+(0.17*B145)+(0.002*C145)</f>
        <v>8.1218</v>
      </c>
      <c r="F145" s="0" t="n">
        <f aca="false">1.7+(0.09*A145)+(0.2*B145)+(0.017*C145)</f>
        <v>12.8388</v>
      </c>
      <c r="G145" s="0" t="n">
        <f aca="false">(D145-E145)^2</f>
        <v>5.19019524000001</v>
      </c>
      <c r="H145" s="0" t="n">
        <f aca="false">(D145-F145)^2</f>
        <v>5.94774543999999</v>
      </c>
      <c r="I145" s="0" t="n">
        <f aca="false">ABS(D145-E145)</f>
        <v>2.2782</v>
      </c>
      <c r="J145" s="0" t="n">
        <f aca="false">ABS(D145-F145)</f>
        <v>2.4388</v>
      </c>
    </row>
    <row r="146" customFormat="false" ht="12.8" hidden="false" customHeight="false" outlineLevel="0" collapsed="false">
      <c r="A146" s="0" t="n">
        <v>96.2</v>
      </c>
      <c r="B146" s="0" t="n">
        <v>14.8</v>
      </c>
      <c r="C146" s="0" t="n">
        <v>38.9</v>
      </c>
      <c r="D146" s="0" t="n">
        <v>11.4</v>
      </c>
      <c r="E146" s="0" t="n">
        <f aca="false">2.9+(0.04*A146)+(0.17*B146)+(0.002*C146)</f>
        <v>9.3418</v>
      </c>
      <c r="F146" s="0" t="n">
        <f aca="false">1.7+(0.09*A146)+(0.2*B146)+(0.017*C146)</f>
        <v>13.9793</v>
      </c>
      <c r="G146" s="0" t="n">
        <f aca="false">(D146-E146)^2</f>
        <v>4.23618724</v>
      </c>
      <c r="H146" s="0" t="n">
        <f aca="false">(D146-F146)^2</f>
        <v>6.65278849</v>
      </c>
      <c r="I146" s="0" t="n">
        <f aca="false">ABS(D146-E146)</f>
        <v>2.0582</v>
      </c>
      <c r="J146" s="0" t="n">
        <f aca="false">ABS(D146-F146)</f>
        <v>2.5793</v>
      </c>
    </row>
    <row r="147" customFormat="false" ht="12.8" hidden="false" customHeight="false" outlineLevel="0" collapsed="false">
      <c r="A147" s="0" t="n">
        <v>140.3</v>
      </c>
      <c r="B147" s="0" t="n">
        <v>1.9</v>
      </c>
      <c r="C147" s="0" t="n">
        <v>9</v>
      </c>
      <c r="D147" s="0" t="n">
        <v>10.3</v>
      </c>
      <c r="E147" s="0" t="n">
        <f aca="false">2.9+(0.04*A147)+(0.17*B147)+(0.002*C147)</f>
        <v>8.853</v>
      </c>
      <c r="F147" s="0" t="n">
        <f aca="false">1.7+(0.09*A147)+(0.2*B147)+(0.017*C147)</f>
        <v>14.86</v>
      </c>
      <c r="G147" s="0" t="n">
        <f aca="false">(D147-E147)^2</f>
        <v>2.093809</v>
      </c>
      <c r="H147" s="0" t="n">
        <f aca="false">(D147-F147)^2</f>
        <v>20.7936</v>
      </c>
      <c r="I147" s="0" t="n">
        <f aca="false">ABS(D147-E147)</f>
        <v>1.447</v>
      </c>
      <c r="J147" s="0" t="n">
        <f aca="false">ABS(D147-F147)</f>
        <v>4.56</v>
      </c>
    </row>
    <row r="148" customFormat="false" ht="12.8" hidden="false" customHeight="false" outlineLevel="0" collapsed="false">
      <c r="A148" s="0" t="n">
        <v>240.1</v>
      </c>
      <c r="B148" s="0" t="n">
        <v>7.3</v>
      </c>
      <c r="C148" s="0" t="n">
        <v>8.7</v>
      </c>
      <c r="D148" s="0" t="n">
        <v>13.2</v>
      </c>
      <c r="E148" s="0" t="n">
        <f aca="false">2.9+(0.04*A148)+(0.17*B148)+(0.002*C148)</f>
        <v>13.7624</v>
      </c>
      <c r="F148" s="0" t="n">
        <f aca="false">1.7+(0.09*A148)+(0.2*B148)+(0.017*C148)</f>
        <v>24.9169</v>
      </c>
      <c r="G148" s="0" t="n">
        <f aca="false">(D148-E148)^2</f>
        <v>0.31629376</v>
      </c>
      <c r="H148" s="0" t="n">
        <f aca="false">(D148-F148)^2</f>
        <v>137.28574561</v>
      </c>
      <c r="I148" s="0" t="n">
        <f aca="false">ABS(D148-E148)</f>
        <v>0.5624</v>
      </c>
      <c r="J148" s="0" t="n">
        <f aca="false">ABS(D148-F148)</f>
        <v>11.7169</v>
      </c>
    </row>
    <row r="149" customFormat="false" ht="12.8" hidden="false" customHeight="false" outlineLevel="0" collapsed="false">
      <c r="A149" s="0" t="n">
        <v>243.2</v>
      </c>
      <c r="B149" s="0" t="n">
        <v>49</v>
      </c>
      <c r="C149" s="0" t="n">
        <v>44.3</v>
      </c>
      <c r="D149" s="0" t="n">
        <v>25.4</v>
      </c>
      <c r="E149" s="0" t="n">
        <f aca="false">2.9+(0.04*A149)+(0.17*B149)+(0.002*C149)</f>
        <v>21.0466</v>
      </c>
      <c r="F149" s="0" t="n">
        <f aca="false">1.7+(0.09*A149)+(0.2*B149)+(0.017*C149)</f>
        <v>34.1411</v>
      </c>
      <c r="G149" s="0" t="n">
        <f aca="false">(D149-E149)^2</f>
        <v>18.95209156</v>
      </c>
      <c r="H149" s="0" t="n">
        <f aca="false">(D149-F149)^2</f>
        <v>76.4068292100001</v>
      </c>
      <c r="I149" s="0" t="n">
        <f aca="false">ABS(D149-E149)</f>
        <v>4.3534</v>
      </c>
      <c r="J149" s="0" t="n">
        <f aca="false">ABS(D149-F149)</f>
        <v>8.7411</v>
      </c>
    </row>
    <row r="150" customFormat="false" ht="12.8" hidden="false" customHeight="false" outlineLevel="0" collapsed="false">
      <c r="A150" s="0" t="n">
        <v>38</v>
      </c>
      <c r="B150" s="0" t="n">
        <v>40.3</v>
      </c>
      <c r="C150" s="0" t="n">
        <v>11.9</v>
      </c>
      <c r="D150" s="0" t="n">
        <v>10.9</v>
      </c>
      <c r="E150" s="0" t="n">
        <f aca="false">2.9+(0.04*A150)+(0.17*B150)+(0.002*C150)</f>
        <v>11.2948</v>
      </c>
      <c r="F150" s="0" t="n">
        <f aca="false">1.7+(0.09*A150)+(0.2*B150)+(0.017*C150)</f>
        <v>13.3823</v>
      </c>
      <c r="G150" s="0" t="n">
        <f aca="false">(D150-E150)^2</f>
        <v>0.15586704</v>
      </c>
      <c r="H150" s="0" t="n">
        <f aca="false">(D150-F150)^2</f>
        <v>6.16181328999999</v>
      </c>
      <c r="I150" s="0" t="n">
        <f aca="false">ABS(D150-E150)</f>
        <v>0.3948</v>
      </c>
      <c r="J150" s="0" t="n">
        <f aca="false">ABS(D150-F150)</f>
        <v>2.4823</v>
      </c>
    </row>
    <row r="151" customFormat="false" ht="12.8" hidden="false" customHeight="false" outlineLevel="0" collapsed="false">
      <c r="A151" s="0" t="n">
        <v>44.7</v>
      </c>
      <c r="B151" s="0" t="n">
        <v>25.8</v>
      </c>
      <c r="C151" s="0" t="n">
        <v>20.6</v>
      </c>
      <c r="D151" s="0" t="n">
        <v>10.1</v>
      </c>
      <c r="E151" s="0" t="n">
        <f aca="false">2.9+(0.04*A151)+(0.17*B151)+(0.002*C151)</f>
        <v>9.1152</v>
      </c>
      <c r="F151" s="0" t="n">
        <f aca="false">1.7+(0.09*A151)+(0.2*B151)+(0.017*C151)</f>
        <v>11.2332</v>
      </c>
      <c r="G151" s="0" t="n">
        <f aca="false">(D151-E151)^2</f>
        <v>0.969831039999996</v>
      </c>
      <c r="H151" s="0" t="n">
        <f aca="false">(D151-F151)^2</f>
        <v>1.28414224</v>
      </c>
      <c r="I151" s="0" t="n">
        <f aca="false">ABS(D151-E151)</f>
        <v>0.984799999999998</v>
      </c>
      <c r="J151" s="0" t="n">
        <f aca="false">ABS(D151-F151)</f>
        <v>1.1332</v>
      </c>
    </row>
    <row r="152" customFormat="false" ht="12.8" hidden="false" customHeight="false" outlineLevel="0" collapsed="false">
      <c r="A152" s="0" t="n">
        <v>280.7</v>
      </c>
      <c r="B152" s="0" t="n">
        <v>13.9</v>
      </c>
      <c r="C152" s="0" t="n">
        <v>37</v>
      </c>
      <c r="D152" s="0" t="n">
        <v>16.1</v>
      </c>
      <c r="E152" s="0" t="n">
        <f aca="false">2.9+(0.04*A152)+(0.17*B152)+(0.002*C152)</f>
        <v>16.565</v>
      </c>
      <c r="F152" s="0" t="n">
        <f aca="false">1.7+(0.09*A152)+(0.2*B152)+(0.017*C152)</f>
        <v>30.372</v>
      </c>
      <c r="G152" s="0" t="n">
        <f aca="false">(D152-E152)^2</f>
        <v>0.216225</v>
      </c>
      <c r="H152" s="0" t="n">
        <f aca="false">(D152-F152)^2</f>
        <v>203.689984</v>
      </c>
      <c r="I152" s="0" t="n">
        <f aca="false">ABS(D152-E152)</f>
        <v>0.465</v>
      </c>
      <c r="J152" s="0" t="n">
        <f aca="false">ABS(D152-F152)</f>
        <v>14.272</v>
      </c>
    </row>
    <row r="153" customFormat="false" ht="12.8" hidden="false" customHeight="false" outlineLevel="0" collapsed="false">
      <c r="A153" s="0" t="n">
        <v>121</v>
      </c>
      <c r="B153" s="0" t="n">
        <v>8.4</v>
      </c>
      <c r="C153" s="0" t="n">
        <v>48.7</v>
      </c>
      <c r="D153" s="0" t="n">
        <v>11.6</v>
      </c>
      <c r="E153" s="0" t="n">
        <f aca="false">2.9+(0.04*A153)+(0.17*B153)+(0.002*C153)</f>
        <v>9.2654</v>
      </c>
      <c r="F153" s="0" t="n">
        <f aca="false">1.7+(0.09*A153)+(0.2*B153)+(0.017*C153)</f>
        <v>15.0979</v>
      </c>
      <c r="G153" s="0" t="n">
        <f aca="false">(D153-E153)^2</f>
        <v>5.45035715999999</v>
      </c>
      <c r="H153" s="0" t="n">
        <f aca="false">(D153-F153)^2</f>
        <v>12.23530441</v>
      </c>
      <c r="I153" s="0" t="n">
        <f aca="false">ABS(D153-E153)</f>
        <v>2.3346</v>
      </c>
      <c r="J153" s="0" t="n">
        <f aca="false">ABS(D153-F153)</f>
        <v>3.4979</v>
      </c>
    </row>
    <row r="154" customFormat="false" ht="12.8" hidden="false" customHeight="false" outlineLevel="0" collapsed="false">
      <c r="A154" s="0" t="n">
        <v>197.6</v>
      </c>
      <c r="B154" s="0" t="n">
        <v>23.3</v>
      </c>
      <c r="C154" s="0" t="n">
        <v>14.2</v>
      </c>
      <c r="D154" s="0" t="n">
        <v>16.6</v>
      </c>
      <c r="E154" s="0" t="n">
        <f aca="false">2.9+(0.04*A154)+(0.17*B154)+(0.002*C154)</f>
        <v>14.7934</v>
      </c>
      <c r="F154" s="0" t="n">
        <f aca="false">1.7+(0.09*A154)+(0.2*B154)+(0.017*C154)</f>
        <v>24.3854</v>
      </c>
      <c r="G154" s="0" t="n">
        <f aca="false">(D154-E154)^2</f>
        <v>3.26380356</v>
      </c>
      <c r="H154" s="0" t="n">
        <f aca="false">(D154-F154)^2</f>
        <v>60.6124531599999</v>
      </c>
      <c r="I154" s="0" t="n">
        <f aca="false">ABS(D154-E154)</f>
        <v>1.8066</v>
      </c>
      <c r="J154" s="0" t="n">
        <f aca="false">ABS(D154-F154)</f>
        <v>7.7854</v>
      </c>
    </row>
    <row r="155" customFormat="false" ht="12.8" hidden="false" customHeight="false" outlineLevel="0" collapsed="false">
      <c r="A155" s="0" t="n">
        <v>171.3</v>
      </c>
      <c r="B155" s="0" t="n">
        <v>39.7</v>
      </c>
      <c r="C155" s="0" t="n">
        <v>37.7</v>
      </c>
      <c r="D155" s="0" t="n">
        <v>19</v>
      </c>
      <c r="E155" s="0" t="n">
        <f aca="false">2.9+(0.04*A155)+(0.17*B155)+(0.002*C155)</f>
        <v>16.5764</v>
      </c>
      <c r="F155" s="0" t="n">
        <f aca="false">1.7+(0.09*A155)+(0.2*B155)+(0.017*C155)</f>
        <v>25.6979</v>
      </c>
      <c r="G155" s="0" t="n">
        <f aca="false">(D155-E155)^2</f>
        <v>5.87383696</v>
      </c>
      <c r="H155" s="0" t="n">
        <f aca="false">(D155-F155)^2</f>
        <v>44.86186441</v>
      </c>
      <c r="I155" s="0" t="n">
        <f aca="false">ABS(D155-E155)</f>
        <v>2.4236</v>
      </c>
      <c r="J155" s="0" t="n">
        <f aca="false">ABS(D155-F155)</f>
        <v>6.6979</v>
      </c>
    </row>
    <row r="156" customFormat="false" ht="12.8" hidden="false" customHeight="false" outlineLevel="0" collapsed="false">
      <c r="A156" s="0" t="n">
        <v>187.8</v>
      </c>
      <c r="B156" s="0" t="n">
        <v>21.1</v>
      </c>
      <c r="C156" s="0" t="n">
        <v>9.5</v>
      </c>
      <c r="D156" s="0" t="n">
        <v>15.6</v>
      </c>
      <c r="E156" s="0" t="n">
        <f aca="false">2.9+(0.04*A156)+(0.17*B156)+(0.002*C156)</f>
        <v>14.018</v>
      </c>
      <c r="F156" s="0" t="n">
        <f aca="false">1.7+(0.09*A156)+(0.2*B156)+(0.017*C156)</f>
        <v>22.9835</v>
      </c>
      <c r="G156" s="0" t="n">
        <f aca="false">(D156-E156)^2</f>
        <v>2.50272399999999</v>
      </c>
      <c r="H156" s="0" t="n">
        <f aca="false">(D156-F156)^2</f>
        <v>54.5160722500001</v>
      </c>
      <c r="I156" s="0" t="n">
        <f aca="false">ABS(D156-E156)</f>
        <v>1.582</v>
      </c>
      <c r="J156" s="0" t="n">
        <f aca="false">ABS(D156-F156)</f>
        <v>7.3835</v>
      </c>
    </row>
    <row r="157" customFormat="false" ht="12.8" hidden="false" customHeight="false" outlineLevel="0" collapsed="false">
      <c r="A157" s="0" t="n">
        <v>4.1</v>
      </c>
      <c r="B157" s="0" t="n">
        <v>11.6</v>
      </c>
      <c r="C157" s="0" t="n">
        <v>5.7</v>
      </c>
      <c r="D157" s="0" t="n">
        <v>3.2</v>
      </c>
      <c r="E157" s="0" t="n">
        <f aca="false">2.9+(0.04*A157)+(0.17*B157)+(0.002*C157)</f>
        <v>5.0474</v>
      </c>
      <c r="F157" s="0" t="n">
        <f aca="false">1.7+(0.09*A157)+(0.2*B157)+(0.017*C157)</f>
        <v>4.4859</v>
      </c>
      <c r="G157" s="0" t="n">
        <f aca="false">(D157-E157)^2</f>
        <v>3.41288676</v>
      </c>
      <c r="H157" s="0" t="n">
        <f aca="false">(D157-F157)^2</f>
        <v>1.65353881</v>
      </c>
      <c r="I157" s="0" t="n">
        <f aca="false">ABS(D157-E157)</f>
        <v>1.8474</v>
      </c>
      <c r="J157" s="0" t="n">
        <f aca="false">ABS(D157-F157)</f>
        <v>1.2859</v>
      </c>
    </row>
    <row r="158" customFormat="false" ht="12.8" hidden="false" customHeight="false" outlineLevel="0" collapsed="false">
      <c r="A158" s="0" t="n">
        <v>93.9</v>
      </c>
      <c r="B158" s="0" t="n">
        <v>43.5</v>
      </c>
      <c r="C158" s="0" t="n">
        <v>50.5</v>
      </c>
      <c r="D158" s="0" t="n">
        <v>15.3</v>
      </c>
      <c r="E158" s="0" t="n">
        <f aca="false">2.9+(0.04*A158)+(0.17*B158)+(0.002*C158)</f>
        <v>14.152</v>
      </c>
      <c r="F158" s="0" t="n">
        <f aca="false">1.7+(0.09*A158)+(0.2*B158)+(0.017*C158)</f>
        <v>19.7095</v>
      </c>
      <c r="G158" s="0" t="n">
        <f aca="false">(D158-E158)^2</f>
        <v>1.317904</v>
      </c>
      <c r="H158" s="0" t="n">
        <f aca="false">(D158-F158)^2</f>
        <v>19.44369025</v>
      </c>
      <c r="I158" s="0" t="n">
        <f aca="false">ABS(D158-E158)</f>
        <v>1.148</v>
      </c>
      <c r="J158" s="0" t="n">
        <f aca="false">ABS(D158-F158)</f>
        <v>4.4095</v>
      </c>
    </row>
    <row r="159" customFormat="false" ht="12.8" hidden="false" customHeight="false" outlineLevel="0" collapsed="false">
      <c r="A159" s="0" t="n">
        <v>149.8</v>
      </c>
      <c r="B159" s="0" t="n">
        <v>1.3</v>
      </c>
      <c r="C159" s="0" t="n">
        <v>24.3</v>
      </c>
      <c r="D159" s="0" t="n">
        <v>10.1</v>
      </c>
      <c r="E159" s="0" t="n">
        <f aca="false">2.9+(0.04*A159)+(0.17*B159)+(0.002*C159)</f>
        <v>9.1616</v>
      </c>
      <c r="F159" s="0" t="n">
        <f aca="false">1.7+(0.09*A159)+(0.2*B159)+(0.017*C159)</f>
        <v>15.8551</v>
      </c>
      <c r="G159" s="0" t="n">
        <f aca="false">(D159-E159)^2</f>
        <v>0.880594559999996</v>
      </c>
      <c r="H159" s="0" t="n">
        <f aca="false">(D159-F159)^2</f>
        <v>33.12117601</v>
      </c>
      <c r="I159" s="0" t="n">
        <f aca="false">ABS(D159-E159)</f>
        <v>0.938399999999998</v>
      </c>
      <c r="J159" s="0" t="n">
        <f aca="false">ABS(D159-F159)</f>
        <v>5.7551</v>
      </c>
    </row>
    <row r="160" customFormat="false" ht="12.8" hidden="false" customHeight="false" outlineLevel="0" collapsed="false">
      <c r="A160" s="0" t="n">
        <v>11.7</v>
      </c>
      <c r="B160" s="0" t="n">
        <v>36.9</v>
      </c>
      <c r="C160" s="0" t="n">
        <v>45.2</v>
      </c>
      <c r="D160" s="0" t="n">
        <v>7.3</v>
      </c>
      <c r="E160" s="0" t="n">
        <f aca="false">2.9+(0.04*A160)+(0.17*B160)+(0.002*C160)</f>
        <v>9.7314</v>
      </c>
      <c r="F160" s="0" t="n">
        <f aca="false">1.7+(0.09*A160)+(0.2*B160)+(0.017*C160)</f>
        <v>10.9014</v>
      </c>
      <c r="G160" s="0" t="n">
        <f aca="false">(D160-E160)^2</f>
        <v>5.91170596</v>
      </c>
      <c r="H160" s="0" t="n">
        <f aca="false">(D160-F160)^2</f>
        <v>12.97008196</v>
      </c>
      <c r="I160" s="0" t="n">
        <f aca="false">ABS(D160-E160)</f>
        <v>2.4314</v>
      </c>
      <c r="J160" s="0" t="n">
        <f aca="false">ABS(D160-F160)</f>
        <v>3.6014</v>
      </c>
    </row>
    <row r="161" customFormat="false" ht="12.8" hidden="false" customHeight="false" outlineLevel="0" collapsed="false">
      <c r="A161" s="0" t="n">
        <v>131.7</v>
      </c>
      <c r="B161" s="0" t="n">
        <v>18.4</v>
      </c>
      <c r="C161" s="0" t="n">
        <v>34.6</v>
      </c>
      <c r="D161" s="0" t="n">
        <v>12.9</v>
      </c>
      <c r="E161" s="0" t="n">
        <f aca="false">2.9+(0.04*A161)+(0.17*B161)+(0.002*C161)</f>
        <v>11.3652</v>
      </c>
      <c r="F161" s="0" t="n">
        <f aca="false">1.7+(0.09*A161)+(0.2*B161)+(0.017*C161)</f>
        <v>17.8212</v>
      </c>
      <c r="G161" s="0" t="n">
        <f aca="false">(D161-E161)^2</f>
        <v>2.35561104</v>
      </c>
      <c r="H161" s="0" t="n">
        <f aca="false">(D161-F161)^2</f>
        <v>24.21820944</v>
      </c>
      <c r="I161" s="0" t="n">
        <f aca="false">ABS(D161-E161)</f>
        <v>1.5348</v>
      </c>
      <c r="J161" s="0" t="n">
        <f aca="false">ABS(D161-F161)</f>
        <v>4.9212</v>
      </c>
    </row>
    <row r="162" customFormat="false" ht="12.8" hidden="false" customHeight="false" outlineLevel="0" collapsed="false">
      <c r="A162" s="0" t="n">
        <v>172.5</v>
      </c>
      <c r="B162" s="0" t="n">
        <v>18.1</v>
      </c>
      <c r="C162" s="0" t="n">
        <v>30.7</v>
      </c>
      <c r="D162" s="0" t="n">
        <v>14.4</v>
      </c>
      <c r="E162" s="0" t="n">
        <f aca="false">2.9+(0.04*A162)+(0.17*B162)+(0.002*C162)</f>
        <v>12.9384</v>
      </c>
      <c r="F162" s="0" t="n">
        <f aca="false">1.7+(0.09*A162)+(0.2*B162)+(0.017*C162)</f>
        <v>21.3669</v>
      </c>
      <c r="G162" s="0" t="n">
        <f aca="false">(D162-E162)^2</f>
        <v>2.13627456</v>
      </c>
      <c r="H162" s="0" t="n">
        <f aca="false">(D162-F162)^2</f>
        <v>48.53769561</v>
      </c>
      <c r="I162" s="0" t="n">
        <f aca="false">ABS(D162-E162)</f>
        <v>1.4616</v>
      </c>
      <c r="J162" s="0" t="n">
        <f aca="false">ABS(D162-F162)</f>
        <v>6.9669</v>
      </c>
    </row>
    <row r="163" customFormat="false" ht="12.8" hidden="false" customHeight="false" outlineLevel="0" collapsed="false">
      <c r="A163" s="0" t="n">
        <v>85.7</v>
      </c>
      <c r="B163" s="0" t="n">
        <v>35.8</v>
      </c>
      <c r="C163" s="0" t="n">
        <v>49.3</v>
      </c>
      <c r="D163" s="0" t="n">
        <v>13.3</v>
      </c>
      <c r="E163" s="0" t="n">
        <f aca="false">2.9+(0.04*A163)+(0.17*B163)+(0.002*C163)</f>
        <v>12.5126</v>
      </c>
      <c r="F163" s="0" t="n">
        <f aca="false">1.7+(0.09*A163)+(0.2*B163)+(0.017*C163)</f>
        <v>17.4111</v>
      </c>
      <c r="G163" s="0" t="n">
        <f aca="false">(D163-E163)^2</f>
        <v>0.61999876</v>
      </c>
      <c r="H163" s="0" t="n">
        <f aca="false">(D163-F163)^2</f>
        <v>16.90114321</v>
      </c>
      <c r="I163" s="0" t="n">
        <f aca="false">ABS(D163-E163)</f>
        <v>0.7874</v>
      </c>
      <c r="J163" s="0" t="n">
        <f aca="false">ABS(D163-F163)</f>
        <v>4.1111</v>
      </c>
    </row>
    <row r="164" customFormat="false" ht="12.8" hidden="false" customHeight="false" outlineLevel="0" collapsed="false">
      <c r="A164" s="0" t="n">
        <v>188.4</v>
      </c>
      <c r="B164" s="0" t="n">
        <v>18.1</v>
      </c>
      <c r="C164" s="0" t="n">
        <v>25.6</v>
      </c>
      <c r="D164" s="0" t="n">
        <v>14.9</v>
      </c>
      <c r="E164" s="0" t="n">
        <f aca="false">2.9+(0.04*A164)+(0.17*B164)+(0.002*C164)</f>
        <v>13.5642</v>
      </c>
      <c r="F164" s="0" t="n">
        <f aca="false">1.7+(0.09*A164)+(0.2*B164)+(0.017*C164)</f>
        <v>22.7112</v>
      </c>
      <c r="G164" s="0" t="n">
        <f aca="false">(D164-E164)^2</f>
        <v>1.78436164</v>
      </c>
      <c r="H164" s="0" t="n">
        <f aca="false">(D164-F164)^2</f>
        <v>61.01484544</v>
      </c>
      <c r="I164" s="0" t="n">
        <f aca="false">ABS(D164-E164)</f>
        <v>1.3358</v>
      </c>
      <c r="J164" s="0" t="n">
        <f aca="false">ABS(D164-F164)</f>
        <v>7.8112</v>
      </c>
    </row>
    <row r="165" customFormat="false" ht="12.8" hidden="false" customHeight="false" outlineLevel="0" collapsed="false">
      <c r="A165" s="0" t="n">
        <v>163.5</v>
      </c>
      <c r="B165" s="0" t="n">
        <v>36.8</v>
      </c>
      <c r="C165" s="0" t="n">
        <v>7.4</v>
      </c>
      <c r="D165" s="0" t="n">
        <v>18</v>
      </c>
      <c r="E165" s="0" t="n">
        <f aca="false">2.9+(0.04*A165)+(0.17*B165)+(0.002*C165)</f>
        <v>15.7108</v>
      </c>
      <c r="F165" s="0" t="n">
        <f aca="false">1.7+(0.09*A165)+(0.2*B165)+(0.017*C165)</f>
        <v>23.9008</v>
      </c>
      <c r="G165" s="0" t="n">
        <f aca="false">(D165-E165)^2</f>
        <v>5.24043664000001</v>
      </c>
      <c r="H165" s="0" t="n">
        <f aca="false">(D165-F165)^2</f>
        <v>34.81944064</v>
      </c>
      <c r="I165" s="0" t="n">
        <f aca="false">ABS(D165-E165)</f>
        <v>2.2892</v>
      </c>
      <c r="J165" s="0" t="n">
        <f aca="false">ABS(D165-F165)</f>
        <v>5.9008</v>
      </c>
    </row>
    <row r="166" customFormat="false" ht="12.8" hidden="false" customHeight="false" outlineLevel="0" collapsed="false">
      <c r="A166" s="0" t="n">
        <v>117.2</v>
      </c>
      <c r="B166" s="0" t="n">
        <v>14.7</v>
      </c>
      <c r="C166" s="0" t="n">
        <v>5.4</v>
      </c>
      <c r="D166" s="0" t="n">
        <v>11.9</v>
      </c>
      <c r="E166" s="0" t="n">
        <f aca="false">2.9+(0.04*A166)+(0.17*B166)+(0.002*C166)</f>
        <v>10.0978</v>
      </c>
      <c r="F166" s="0" t="n">
        <f aca="false">1.7+(0.09*A166)+(0.2*B166)+(0.017*C166)</f>
        <v>15.2798</v>
      </c>
      <c r="G166" s="0" t="n">
        <f aca="false">(D166-E166)^2</f>
        <v>3.24792484</v>
      </c>
      <c r="H166" s="0" t="n">
        <f aca="false">(D166-F166)^2</f>
        <v>11.42304804</v>
      </c>
      <c r="I166" s="0" t="n">
        <f aca="false">ABS(D166-E166)</f>
        <v>1.8022</v>
      </c>
      <c r="J166" s="0" t="n">
        <f aca="false">ABS(D166-F166)</f>
        <v>3.3798</v>
      </c>
    </row>
    <row r="167" customFormat="false" ht="12.8" hidden="false" customHeight="false" outlineLevel="0" collapsed="false">
      <c r="A167" s="0" t="n">
        <v>234.5</v>
      </c>
      <c r="B167" s="0" t="n">
        <v>3.4</v>
      </c>
      <c r="C167" s="0" t="n">
        <v>84.8</v>
      </c>
      <c r="D167" s="0" t="n">
        <v>11.9</v>
      </c>
      <c r="E167" s="0" t="n">
        <f aca="false">2.9+(0.04*A167)+(0.17*B167)+(0.002*C167)</f>
        <v>13.0276</v>
      </c>
      <c r="F167" s="0" t="n">
        <f aca="false">1.7+(0.09*A167)+(0.2*B167)+(0.017*C167)</f>
        <v>24.9266</v>
      </c>
      <c r="G167" s="0" t="n">
        <f aca="false">(D167-E167)^2</f>
        <v>1.27148176</v>
      </c>
      <c r="H167" s="0" t="n">
        <f aca="false">(D167-F167)^2</f>
        <v>169.69230756</v>
      </c>
      <c r="I167" s="0" t="n">
        <f aca="false">ABS(D167-E167)</f>
        <v>1.1276</v>
      </c>
      <c r="J167" s="0" t="n">
        <f aca="false">ABS(D167-F167)</f>
        <v>13.0266</v>
      </c>
    </row>
    <row r="168" customFormat="false" ht="12.8" hidden="false" customHeight="false" outlineLevel="0" collapsed="false">
      <c r="A168" s="0" t="n">
        <v>17.9</v>
      </c>
      <c r="B168" s="0" t="n">
        <v>37.6</v>
      </c>
      <c r="C168" s="0" t="n">
        <v>21.6</v>
      </c>
      <c r="D168" s="0" t="n">
        <v>8</v>
      </c>
      <c r="E168" s="0" t="n">
        <f aca="false">2.9+(0.04*A168)+(0.17*B168)+(0.002*C168)</f>
        <v>10.0512</v>
      </c>
      <c r="F168" s="0" t="n">
        <f aca="false">1.7+(0.09*A168)+(0.2*B168)+(0.017*C168)</f>
        <v>11.1982</v>
      </c>
      <c r="G168" s="0" t="n">
        <f aca="false">(D168-E168)^2</f>
        <v>4.20742144</v>
      </c>
      <c r="H168" s="0" t="n">
        <f aca="false">(D168-F168)^2</f>
        <v>10.22848324</v>
      </c>
      <c r="I168" s="0" t="n">
        <f aca="false">ABS(D168-E168)</f>
        <v>2.0512</v>
      </c>
      <c r="J168" s="0" t="n">
        <f aca="false">ABS(D168-F168)</f>
        <v>3.1982</v>
      </c>
    </row>
    <row r="169" customFormat="false" ht="12.8" hidden="false" customHeight="false" outlineLevel="0" collapsed="false">
      <c r="A169" s="0" t="n">
        <v>206.8</v>
      </c>
      <c r="B169" s="0" t="n">
        <v>5.2</v>
      </c>
      <c r="C169" s="0" t="n">
        <v>19.4</v>
      </c>
      <c r="D169" s="0" t="n">
        <v>12.2</v>
      </c>
      <c r="E169" s="0" t="n">
        <f aca="false">2.9+(0.04*A169)+(0.17*B169)+(0.002*C169)</f>
        <v>12.0948</v>
      </c>
      <c r="F169" s="0" t="n">
        <f aca="false">1.7+(0.09*A169)+(0.2*B169)+(0.017*C169)</f>
        <v>21.6818</v>
      </c>
      <c r="G169" s="0" t="n">
        <f aca="false">(D169-E169)^2</f>
        <v>0.0110670399999996</v>
      </c>
      <c r="H169" s="0" t="n">
        <f aca="false">(D169-F169)^2</f>
        <v>89.90453124</v>
      </c>
      <c r="I169" s="0" t="n">
        <f aca="false">ABS(D169-E169)</f>
        <v>0.105199999999998</v>
      </c>
      <c r="J169" s="0" t="n">
        <f aca="false">ABS(D169-F169)</f>
        <v>9.4818</v>
      </c>
    </row>
    <row r="170" customFormat="false" ht="12.8" hidden="false" customHeight="false" outlineLevel="0" collapsed="false">
      <c r="A170" s="0" t="n">
        <v>215.4</v>
      </c>
      <c r="B170" s="0" t="n">
        <v>23.6</v>
      </c>
      <c r="C170" s="0" t="n">
        <v>57.6</v>
      </c>
      <c r="D170" s="0" t="n">
        <v>17.1</v>
      </c>
      <c r="E170" s="0" t="n">
        <f aca="false">2.9+(0.04*A170)+(0.17*B170)+(0.002*C170)</f>
        <v>15.6432</v>
      </c>
      <c r="F170" s="0" t="n">
        <f aca="false">1.7+(0.09*A170)+(0.2*B170)+(0.017*C170)</f>
        <v>26.7852</v>
      </c>
      <c r="G170" s="0" t="n">
        <f aca="false">(D170-E170)^2</f>
        <v>2.12226624</v>
      </c>
      <c r="H170" s="0" t="n">
        <f aca="false">(D170-F170)^2</f>
        <v>93.8030990399999</v>
      </c>
      <c r="I170" s="0" t="n">
        <f aca="false">ABS(D170-E170)</f>
        <v>1.4568</v>
      </c>
      <c r="J170" s="0" t="n">
        <f aca="false">ABS(D170-F170)</f>
        <v>9.6852</v>
      </c>
    </row>
    <row r="171" customFormat="false" ht="12.8" hidden="false" customHeight="false" outlineLevel="0" collapsed="false">
      <c r="A171" s="0" t="n">
        <v>284.3</v>
      </c>
      <c r="B171" s="0" t="n">
        <v>10.6</v>
      </c>
      <c r="C171" s="0" t="n">
        <v>6.4</v>
      </c>
      <c r="D171" s="0" t="n">
        <v>15</v>
      </c>
      <c r="E171" s="0" t="n">
        <f aca="false">2.9+(0.04*A171)+(0.17*B171)+(0.002*C171)</f>
        <v>16.0868</v>
      </c>
      <c r="F171" s="0" t="n">
        <f aca="false">1.7+(0.09*A171)+(0.2*B171)+(0.017*C171)</f>
        <v>29.5158</v>
      </c>
      <c r="G171" s="0" t="n">
        <f aca="false">(D171-E171)^2</f>
        <v>1.18113424</v>
      </c>
      <c r="H171" s="0" t="n">
        <f aca="false">(D171-F171)^2</f>
        <v>210.70844964</v>
      </c>
      <c r="I171" s="0" t="n">
        <f aca="false">ABS(D171-E171)</f>
        <v>1.0868</v>
      </c>
      <c r="J171" s="0" t="n">
        <f aca="false">ABS(D171-F171)</f>
        <v>14.5158</v>
      </c>
    </row>
    <row r="172" customFormat="false" ht="12.8" hidden="false" customHeight="false" outlineLevel="0" collapsed="false">
      <c r="A172" s="0" t="n">
        <v>50</v>
      </c>
      <c r="B172" s="0" t="n">
        <v>11.6</v>
      </c>
      <c r="C172" s="0" t="n">
        <v>18.4</v>
      </c>
      <c r="D172" s="0" t="n">
        <v>8.4</v>
      </c>
      <c r="E172" s="0" t="n">
        <f aca="false">2.9+(0.04*A172)+(0.17*B172)+(0.002*C172)</f>
        <v>6.9088</v>
      </c>
      <c r="F172" s="0" t="n">
        <f aca="false">1.7+(0.09*A172)+(0.2*B172)+(0.017*C172)</f>
        <v>8.8328</v>
      </c>
      <c r="G172" s="0" t="n">
        <f aca="false">(D172-E172)^2</f>
        <v>2.22367744</v>
      </c>
      <c r="H172" s="0" t="n">
        <f aca="false">(D172-F172)^2</f>
        <v>0.187315839999999</v>
      </c>
      <c r="I172" s="0" t="n">
        <f aca="false">ABS(D172-E172)</f>
        <v>1.4912</v>
      </c>
      <c r="J172" s="0" t="n">
        <f aca="false">ABS(D172-F172)</f>
        <v>0.432799999999999</v>
      </c>
    </row>
    <row r="173" customFormat="false" ht="12.8" hidden="false" customHeight="false" outlineLevel="0" collapsed="false">
      <c r="A173" s="0" t="n">
        <v>164.5</v>
      </c>
      <c r="B173" s="0" t="n">
        <v>20.9</v>
      </c>
      <c r="C173" s="0" t="n">
        <v>47.4</v>
      </c>
      <c r="D173" s="0" t="n">
        <v>14.5</v>
      </c>
      <c r="E173" s="0" t="n">
        <f aca="false">2.9+(0.04*A173)+(0.17*B173)+(0.002*C173)</f>
        <v>13.1278</v>
      </c>
      <c r="F173" s="0" t="n">
        <f aca="false">1.7+(0.09*A173)+(0.2*B173)+(0.017*C173)</f>
        <v>21.4908</v>
      </c>
      <c r="G173" s="0" t="n">
        <f aca="false">(D173-E173)^2</f>
        <v>1.88293284</v>
      </c>
      <c r="H173" s="0" t="n">
        <f aca="false">(D173-F173)^2</f>
        <v>48.87128464</v>
      </c>
      <c r="I173" s="0" t="n">
        <f aca="false">ABS(D173-E173)</f>
        <v>1.3722</v>
      </c>
      <c r="J173" s="0" t="n">
        <f aca="false">ABS(D173-F173)</f>
        <v>6.9908</v>
      </c>
    </row>
    <row r="174" customFormat="false" ht="12.8" hidden="false" customHeight="false" outlineLevel="0" collapsed="false">
      <c r="A174" s="0" t="n">
        <v>19.6</v>
      </c>
      <c r="B174" s="0" t="n">
        <v>20.1</v>
      </c>
      <c r="C174" s="0" t="n">
        <v>17</v>
      </c>
      <c r="D174" s="0" t="n">
        <v>7.6</v>
      </c>
      <c r="E174" s="0" t="n">
        <f aca="false">2.9+(0.04*A174)+(0.17*B174)+(0.002*C174)</f>
        <v>7.135</v>
      </c>
      <c r="F174" s="0" t="n">
        <f aca="false">1.7+(0.09*A174)+(0.2*B174)+(0.017*C174)</f>
        <v>7.773</v>
      </c>
      <c r="G174" s="0" t="n">
        <f aca="false">(D174-E174)^2</f>
        <v>0.216224999999999</v>
      </c>
      <c r="H174" s="0" t="n">
        <f aca="false">(D174-F174)^2</f>
        <v>0.029929</v>
      </c>
      <c r="I174" s="0" t="n">
        <f aca="false">ABS(D174-E174)</f>
        <v>0.464999999999999</v>
      </c>
      <c r="J174" s="0" t="n">
        <f aca="false">ABS(D174-F174)</f>
        <v>0.173</v>
      </c>
    </row>
    <row r="175" customFormat="false" ht="12.8" hidden="false" customHeight="false" outlineLevel="0" collapsed="false">
      <c r="A175" s="0" t="n">
        <v>168.4</v>
      </c>
      <c r="B175" s="0" t="n">
        <v>7.1</v>
      </c>
      <c r="C175" s="0" t="n">
        <v>12.8</v>
      </c>
      <c r="D175" s="0" t="n">
        <v>11.7</v>
      </c>
      <c r="E175" s="0" t="n">
        <f aca="false">2.9+(0.04*A175)+(0.17*B175)+(0.002*C175)</f>
        <v>10.8686</v>
      </c>
      <c r="F175" s="0" t="n">
        <f aca="false">1.7+(0.09*A175)+(0.2*B175)+(0.017*C175)</f>
        <v>18.4936</v>
      </c>
      <c r="G175" s="0" t="n">
        <f aca="false">(D175-E175)^2</f>
        <v>0.691225959999995</v>
      </c>
      <c r="H175" s="0" t="n">
        <f aca="false">(D175-F175)^2</f>
        <v>46.1530009600001</v>
      </c>
      <c r="I175" s="0" t="n">
        <f aca="false">ABS(D175-E175)</f>
        <v>0.831399999999997</v>
      </c>
      <c r="J175" s="0" t="n">
        <f aca="false">ABS(D175-F175)</f>
        <v>6.79360000000001</v>
      </c>
    </row>
    <row r="176" customFormat="false" ht="12.8" hidden="false" customHeight="false" outlineLevel="0" collapsed="false">
      <c r="A176" s="0" t="n">
        <v>222.4</v>
      </c>
      <c r="B176" s="0" t="n">
        <v>3.4</v>
      </c>
      <c r="C176" s="0" t="n">
        <v>13.1</v>
      </c>
      <c r="D176" s="0" t="n">
        <v>11.5</v>
      </c>
      <c r="E176" s="0" t="n">
        <f aca="false">2.9+(0.04*A176)+(0.17*B176)+(0.002*C176)</f>
        <v>12.4002</v>
      </c>
      <c r="F176" s="0" t="n">
        <f aca="false">1.7+(0.09*A176)+(0.2*B176)+(0.017*C176)</f>
        <v>22.6187</v>
      </c>
      <c r="G176" s="0" t="n">
        <f aca="false">(D176-E176)^2</f>
        <v>0.81036004</v>
      </c>
      <c r="H176" s="0" t="n">
        <f aca="false">(D176-F176)^2</f>
        <v>123.62548969</v>
      </c>
      <c r="I176" s="0" t="n">
        <f aca="false">ABS(D176-E176)</f>
        <v>0.9002</v>
      </c>
      <c r="J176" s="0" t="n">
        <f aca="false">ABS(D176-F176)</f>
        <v>11.1187</v>
      </c>
    </row>
    <row r="177" customFormat="false" ht="12.8" hidden="false" customHeight="false" outlineLevel="0" collapsed="false">
      <c r="A177" s="0" t="n">
        <v>276.9</v>
      </c>
      <c r="B177" s="0" t="n">
        <v>48.9</v>
      </c>
      <c r="C177" s="0" t="n">
        <v>41.8</v>
      </c>
      <c r="D177" s="0" t="n">
        <v>27</v>
      </c>
      <c r="E177" s="0" t="n">
        <f aca="false">2.9+(0.04*A177)+(0.17*B177)+(0.002*C177)</f>
        <v>22.3726</v>
      </c>
      <c r="F177" s="0" t="n">
        <f aca="false">1.7+(0.09*A177)+(0.2*B177)+(0.017*C177)</f>
        <v>37.1116</v>
      </c>
      <c r="G177" s="0" t="n">
        <f aca="false">(D177-E177)^2</f>
        <v>21.41283076</v>
      </c>
      <c r="H177" s="0" t="n">
        <f aca="false">(D177-F177)^2</f>
        <v>102.24445456</v>
      </c>
      <c r="I177" s="0" t="n">
        <f aca="false">ABS(D177-E177)</f>
        <v>4.6274</v>
      </c>
      <c r="J177" s="0" t="n">
        <f aca="false">ABS(D177-F177)</f>
        <v>10.1116</v>
      </c>
    </row>
    <row r="178" customFormat="false" ht="12.8" hidden="false" customHeight="false" outlineLevel="0" collapsed="false">
      <c r="A178" s="0" t="n">
        <v>248.4</v>
      </c>
      <c r="B178" s="0" t="n">
        <v>30.2</v>
      </c>
      <c r="C178" s="0" t="n">
        <v>20.3</v>
      </c>
      <c r="D178" s="0" t="n">
        <v>20.2</v>
      </c>
      <c r="E178" s="0" t="n">
        <f aca="false">2.9+(0.04*A178)+(0.17*B178)+(0.002*C178)</f>
        <v>18.0106</v>
      </c>
      <c r="F178" s="0" t="n">
        <f aca="false">1.7+(0.09*A178)+(0.2*B178)+(0.017*C178)</f>
        <v>30.4411</v>
      </c>
      <c r="G178" s="0" t="n">
        <f aca="false">(D178-E178)^2</f>
        <v>4.79347236</v>
      </c>
      <c r="H178" s="0" t="n">
        <f aca="false">(D178-F178)^2</f>
        <v>104.88012921</v>
      </c>
      <c r="I178" s="0" t="n">
        <f aca="false">ABS(D178-E178)</f>
        <v>2.1894</v>
      </c>
      <c r="J178" s="0" t="n">
        <f aca="false">ABS(D178-F178)</f>
        <v>10.2411</v>
      </c>
    </row>
    <row r="179" customFormat="false" ht="12.8" hidden="false" customHeight="false" outlineLevel="0" collapsed="false">
      <c r="A179" s="0" t="n">
        <v>170.2</v>
      </c>
      <c r="B179" s="0" t="n">
        <v>7.8</v>
      </c>
      <c r="C179" s="0" t="n">
        <v>35.2</v>
      </c>
      <c r="D179" s="0" t="n">
        <v>11.7</v>
      </c>
      <c r="E179" s="0" t="n">
        <f aca="false">2.9+(0.04*A179)+(0.17*B179)+(0.002*C179)</f>
        <v>11.1044</v>
      </c>
      <c r="F179" s="0" t="n">
        <f aca="false">1.7+(0.09*A179)+(0.2*B179)+(0.017*C179)</f>
        <v>19.1764</v>
      </c>
      <c r="G179" s="0" t="n">
        <f aca="false">(D179-E179)^2</f>
        <v>0.354739359999999</v>
      </c>
      <c r="H179" s="0" t="n">
        <f aca="false">(D179-F179)^2</f>
        <v>55.89655696</v>
      </c>
      <c r="I179" s="0" t="n">
        <f aca="false">ABS(D179-E179)</f>
        <v>0.595599999999999</v>
      </c>
      <c r="J179" s="0" t="n">
        <f aca="false">ABS(D179-F179)</f>
        <v>7.4764</v>
      </c>
    </row>
    <row r="180" customFormat="false" ht="12.8" hidden="false" customHeight="false" outlineLevel="0" collapsed="false">
      <c r="A180" s="0" t="n">
        <v>276.7</v>
      </c>
      <c r="B180" s="0" t="n">
        <v>2.3</v>
      </c>
      <c r="C180" s="0" t="n">
        <v>23.7</v>
      </c>
      <c r="D180" s="0" t="n">
        <v>11.8</v>
      </c>
      <c r="E180" s="0" t="n">
        <f aca="false">2.9+(0.04*A180)+(0.17*B180)+(0.002*C180)</f>
        <v>14.4064</v>
      </c>
      <c r="F180" s="0" t="n">
        <f aca="false">1.7+(0.09*A180)+(0.2*B180)+(0.017*C180)</f>
        <v>27.4659</v>
      </c>
      <c r="G180" s="0" t="n">
        <f aca="false">(D180-E180)^2</f>
        <v>6.79332095999999</v>
      </c>
      <c r="H180" s="0" t="n">
        <f aca="false">(D180-F180)^2</f>
        <v>245.42042281</v>
      </c>
      <c r="I180" s="0" t="n">
        <f aca="false">ABS(D180-E180)</f>
        <v>2.6064</v>
      </c>
      <c r="J180" s="0" t="n">
        <f aca="false">ABS(D180-F180)</f>
        <v>15.6659</v>
      </c>
    </row>
    <row r="181" customFormat="false" ht="12.8" hidden="false" customHeight="false" outlineLevel="0" collapsed="false">
      <c r="A181" s="0" t="n">
        <v>165.6</v>
      </c>
      <c r="B181" s="0" t="n">
        <v>10</v>
      </c>
      <c r="C181" s="0" t="n">
        <v>17.6</v>
      </c>
      <c r="D181" s="0" t="n">
        <v>12.6</v>
      </c>
      <c r="E181" s="0" t="n">
        <f aca="false">2.9+(0.04*A181)+(0.17*B181)+(0.002*C181)</f>
        <v>11.2592</v>
      </c>
      <c r="F181" s="0" t="n">
        <f aca="false">1.7+(0.09*A181)+(0.2*B181)+(0.017*C181)</f>
        <v>18.9032</v>
      </c>
      <c r="G181" s="0" t="n">
        <f aca="false">(D181-E181)^2</f>
        <v>1.79774464</v>
      </c>
      <c r="H181" s="0" t="n">
        <f aca="false">(D181-F181)^2</f>
        <v>39.73033024</v>
      </c>
      <c r="I181" s="0" t="n">
        <f aca="false">ABS(D181-E181)</f>
        <v>1.3408</v>
      </c>
      <c r="J181" s="0" t="n">
        <f aca="false">ABS(D181-F181)</f>
        <v>6.3032</v>
      </c>
    </row>
    <row r="182" customFormat="false" ht="12.8" hidden="false" customHeight="false" outlineLevel="0" collapsed="false">
      <c r="A182" s="0" t="n">
        <v>156.6</v>
      </c>
      <c r="B182" s="0" t="n">
        <v>2.6</v>
      </c>
      <c r="C182" s="0" t="n">
        <v>8.3</v>
      </c>
      <c r="D182" s="0" t="n">
        <v>10.5</v>
      </c>
      <c r="E182" s="0" t="n">
        <f aca="false">2.9+(0.04*A182)+(0.17*B182)+(0.002*C182)</f>
        <v>9.6226</v>
      </c>
      <c r="F182" s="0" t="n">
        <f aca="false">1.7+(0.09*A182)+(0.2*B182)+(0.017*C182)</f>
        <v>16.4551</v>
      </c>
      <c r="G182" s="0" t="n">
        <f aca="false">(D182-E182)^2</f>
        <v>0.769830759999999</v>
      </c>
      <c r="H182" s="0" t="n">
        <f aca="false">(D182-F182)^2</f>
        <v>35.46321601</v>
      </c>
      <c r="I182" s="0" t="n">
        <f aca="false">ABS(D182-E182)</f>
        <v>0.8774</v>
      </c>
      <c r="J182" s="0" t="n">
        <f aca="false">ABS(D182-F182)</f>
        <v>5.9551</v>
      </c>
    </row>
    <row r="183" customFormat="false" ht="12.8" hidden="false" customHeight="false" outlineLevel="0" collapsed="false">
      <c r="A183" s="0" t="n">
        <v>218.5</v>
      </c>
      <c r="B183" s="0" t="n">
        <v>5.4</v>
      </c>
      <c r="C183" s="0" t="n">
        <v>27.4</v>
      </c>
      <c r="D183" s="0" t="n">
        <v>12.2</v>
      </c>
      <c r="E183" s="0" t="n">
        <f aca="false">2.9+(0.04*A183)+(0.17*B183)+(0.002*C183)</f>
        <v>12.6128</v>
      </c>
      <c r="F183" s="0" t="n">
        <f aca="false">1.7+(0.09*A183)+(0.2*B183)+(0.017*C183)</f>
        <v>22.9108</v>
      </c>
      <c r="G183" s="0" t="n">
        <f aca="false">(D183-E183)^2</f>
        <v>0.170403840000001</v>
      </c>
      <c r="H183" s="0" t="n">
        <f aca="false">(D183-F183)^2</f>
        <v>114.72123664</v>
      </c>
      <c r="I183" s="0" t="n">
        <f aca="false">ABS(D183-E183)</f>
        <v>0.412800000000001</v>
      </c>
      <c r="J183" s="0" t="n">
        <f aca="false">ABS(D183-F183)</f>
        <v>10.7108</v>
      </c>
    </row>
    <row r="184" customFormat="false" ht="12.8" hidden="false" customHeight="false" outlineLevel="0" collapsed="false">
      <c r="A184" s="0" t="n">
        <v>56.2</v>
      </c>
      <c r="B184" s="0" t="n">
        <v>5.7</v>
      </c>
      <c r="C184" s="0" t="n">
        <v>29.7</v>
      </c>
      <c r="D184" s="0" t="n">
        <v>8.7</v>
      </c>
      <c r="E184" s="0" t="n">
        <f aca="false">2.9+(0.04*A184)+(0.17*B184)+(0.002*C184)</f>
        <v>6.1764</v>
      </c>
      <c r="F184" s="0" t="n">
        <f aca="false">1.7+(0.09*A184)+(0.2*B184)+(0.017*C184)</f>
        <v>8.4029</v>
      </c>
      <c r="G184" s="0" t="n">
        <f aca="false">(D184-E184)^2</f>
        <v>6.36855696</v>
      </c>
      <c r="H184" s="0" t="n">
        <f aca="false">(D184-F184)^2</f>
        <v>0.0882684100000002</v>
      </c>
      <c r="I184" s="0" t="n">
        <f aca="false">ABS(D184-E184)</f>
        <v>2.5236</v>
      </c>
      <c r="J184" s="0" t="n">
        <f aca="false">ABS(D184-F184)</f>
        <v>0.2971</v>
      </c>
    </row>
    <row r="185" customFormat="false" ht="12.8" hidden="false" customHeight="false" outlineLevel="0" collapsed="false">
      <c r="A185" s="0" t="n">
        <v>287.6</v>
      </c>
      <c r="B185" s="0" t="n">
        <v>43</v>
      </c>
      <c r="C185" s="0" t="n">
        <v>71.8</v>
      </c>
      <c r="D185" s="0" t="n">
        <v>26.2</v>
      </c>
      <c r="E185" s="0" t="n">
        <f aca="false">2.9+(0.04*A185)+(0.17*B185)+(0.002*C185)</f>
        <v>21.8576</v>
      </c>
      <c r="F185" s="0" t="n">
        <f aca="false">1.7+(0.09*A185)+(0.2*B185)+(0.017*C185)</f>
        <v>37.4046</v>
      </c>
      <c r="G185" s="0" t="n">
        <f aca="false">(D185-E185)^2</f>
        <v>18.85643776</v>
      </c>
      <c r="H185" s="0" t="n">
        <f aca="false">(D185-F185)^2</f>
        <v>125.54306116</v>
      </c>
      <c r="I185" s="0" t="n">
        <f aca="false">ABS(D185-E185)</f>
        <v>4.3424</v>
      </c>
      <c r="J185" s="0" t="n">
        <f aca="false">ABS(D185-F185)</f>
        <v>11.2046</v>
      </c>
    </row>
    <row r="186" customFormat="false" ht="12.8" hidden="false" customHeight="false" outlineLevel="0" collapsed="false">
      <c r="A186" s="0" t="n">
        <v>253.8</v>
      </c>
      <c r="B186" s="0" t="n">
        <v>21.3</v>
      </c>
      <c r="C186" s="0" t="n">
        <v>30</v>
      </c>
      <c r="D186" s="0" t="n">
        <v>17.6</v>
      </c>
      <c r="E186" s="0" t="n">
        <f aca="false">2.9+(0.04*A186)+(0.17*B186)+(0.002*C186)</f>
        <v>16.733</v>
      </c>
      <c r="F186" s="0" t="n">
        <f aca="false">1.7+(0.09*A186)+(0.2*B186)+(0.017*C186)</f>
        <v>29.312</v>
      </c>
      <c r="G186" s="0" t="n">
        <f aca="false">(D186-E186)^2</f>
        <v>0.751689000000001</v>
      </c>
      <c r="H186" s="0" t="n">
        <f aca="false">(D186-F186)^2</f>
        <v>137.170944</v>
      </c>
      <c r="I186" s="0" t="n">
        <f aca="false">ABS(D186-E186)</f>
        <v>0.867000000000001</v>
      </c>
      <c r="J186" s="0" t="n">
        <f aca="false">ABS(D186-F186)</f>
        <v>11.712</v>
      </c>
    </row>
    <row r="187" customFormat="false" ht="12.8" hidden="false" customHeight="false" outlineLevel="0" collapsed="false">
      <c r="A187" s="0" t="n">
        <v>205</v>
      </c>
      <c r="B187" s="0" t="n">
        <v>45.1</v>
      </c>
      <c r="C187" s="0" t="n">
        <v>19.6</v>
      </c>
      <c r="D187" s="0" t="n">
        <v>22.6</v>
      </c>
      <c r="E187" s="0" t="n">
        <f aca="false">2.9+(0.04*A187)+(0.17*B187)+(0.002*C187)</f>
        <v>18.8062</v>
      </c>
      <c r="F187" s="0" t="n">
        <f aca="false">1.7+(0.09*A187)+(0.2*B187)+(0.017*C187)</f>
        <v>29.5032</v>
      </c>
      <c r="G187" s="0" t="n">
        <f aca="false">(D187-E187)^2</f>
        <v>14.39291844</v>
      </c>
      <c r="H187" s="0" t="n">
        <f aca="false">(D187-F187)^2</f>
        <v>47.65417024</v>
      </c>
      <c r="I187" s="0" t="n">
        <f aca="false">ABS(D187-E187)</f>
        <v>3.7938</v>
      </c>
      <c r="J187" s="0" t="n">
        <f aca="false">ABS(D187-F187)</f>
        <v>6.9032</v>
      </c>
    </row>
    <row r="188" customFormat="false" ht="12.8" hidden="false" customHeight="false" outlineLevel="0" collapsed="false">
      <c r="A188" s="0" t="n">
        <v>139.5</v>
      </c>
      <c r="B188" s="0" t="n">
        <v>2.1</v>
      </c>
      <c r="C188" s="0" t="n">
        <v>26.6</v>
      </c>
      <c r="D188" s="0" t="n">
        <v>10.3</v>
      </c>
      <c r="E188" s="0" t="n">
        <f aca="false">2.9+(0.04*A188)+(0.17*B188)+(0.002*C188)</f>
        <v>8.8902</v>
      </c>
      <c r="F188" s="0" t="n">
        <f aca="false">1.7+(0.09*A188)+(0.2*B188)+(0.017*C188)</f>
        <v>15.1272</v>
      </c>
      <c r="G188" s="0" t="n">
        <f aca="false">(D188-E188)^2</f>
        <v>1.98753604</v>
      </c>
      <c r="H188" s="0" t="n">
        <f aca="false">(D188-F188)^2</f>
        <v>23.30185984</v>
      </c>
      <c r="I188" s="0" t="n">
        <f aca="false">ABS(D188-E188)</f>
        <v>1.4098</v>
      </c>
      <c r="J188" s="0" t="n">
        <f aca="false">ABS(D188-F188)</f>
        <v>4.8272</v>
      </c>
    </row>
    <row r="189" customFormat="false" ht="12.8" hidden="false" customHeight="false" outlineLevel="0" collapsed="false">
      <c r="A189" s="0" t="n">
        <v>191.1</v>
      </c>
      <c r="B189" s="0" t="n">
        <v>28.7</v>
      </c>
      <c r="C189" s="0" t="n">
        <v>18.2</v>
      </c>
      <c r="D189" s="0" t="n">
        <v>17.3</v>
      </c>
      <c r="E189" s="0" t="n">
        <f aca="false">2.9+(0.04*A189)+(0.17*B189)+(0.002*C189)</f>
        <v>15.4594</v>
      </c>
      <c r="F189" s="0" t="n">
        <f aca="false">1.7+(0.09*A189)+(0.2*B189)+(0.017*C189)</f>
        <v>24.9484</v>
      </c>
      <c r="G189" s="0" t="n">
        <f aca="false">(D189-E189)^2</f>
        <v>3.38780835999999</v>
      </c>
      <c r="H189" s="0" t="n">
        <f aca="false">(D189-F189)^2</f>
        <v>58.4980225599999</v>
      </c>
      <c r="I189" s="0" t="n">
        <f aca="false">ABS(D189-E189)</f>
        <v>1.8406</v>
      </c>
      <c r="J189" s="0" t="n">
        <f aca="false">ABS(D189-F189)</f>
        <v>7.6484</v>
      </c>
    </row>
    <row r="190" customFormat="false" ht="12.8" hidden="false" customHeight="false" outlineLevel="0" collapsed="false">
      <c r="A190" s="0" t="n">
        <v>286</v>
      </c>
      <c r="B190" s="0" t="n">
        <v>13.9</v>
      </c>
      <c r="C190" s="0" t="n">
        <v>3.7</v>
      </c>
      <c r="D190" s="0" t="n">
        <v>15.9</v>
      </c>
      <c r="E190" s="0" t="n">
        <f aca="false">2.9+(0.04*A190)+(0.17*B190)+(0.002*C190)</f>
        <v>16.7104</v>
      </c>
      <c r="F190" s="0" t="n">
        <f aca="false">1.7+(0.09*A190)+(0.2*B190)+(0.017*C190)</f>
        <v>30.2829</v>
      </c>
      <c r="G190" s="0" t="n">
        <f aca="false">(D190-E190)^2</f>
        <v>0.656748159999999</v>
      </c>
      <c r="H190" s="0" t="n">
        <f aca="false">(D190-F190)^2</f>
        <v>206.86781241</v>
      </c>
      <c r="I190" s="0" t="n">
        <f aca="false">ABS(D190-E190)</f>
        <v>0.8104</v>
      </c>
      <c r="J190" s="0" t="n">
        <f aca="false">ABS(D190-F190)</f>
        <v>14.3829</v>
      </c>
    </row>
    <row r="191" customFormat="false" ht="12.8" hidden="false" customHeight="false" outlineLevel="0" collapsed="false">
      <c r="A191" s="0" t="n">
        <v>18.7</v>
      </c>
      <c r="B191" s="0" t="n">
        <v>12.1</v>
      </c>
      <c r="C191" s="0" t="n">
        <v>23.4</v>
      </c>
      <c r="D191" s="0" t="n">
        <v>6.7</v>
      </c>
      <c r="E191" s="0" t="n">
        <f aca="false">2.9+(0.04*A191)+(0.17*B191)+(0.002*C191)</f>
        <v>5.7518</v>
      </c>
      <c r="F191" s="0" t="n">
        <f aca="false">1.7+(0.09*A191)+(0.2*B191)+(0.017*C191)</f>
        <v>6.2008</v>
      </c>
      <c r="G191" s="0" t="n">
        <f aca="false">(D191-E191)^2</f>
        <v>0.89908324</v>
      </c>
      <c r="H191" s="0" t="n">
        <f aca="false">(D191-F191)^2</f>
        <v>0.24920064</v>
      </c>
      <c r="I191" s="0" t="n">
        <f aca="false">ABS(D191-E191)</f>
        <v>0.9482</v>
      </c>
      <c r="J191" s="0" t="n">
        <f aca="false">ABS(D191-F191)</f>
        <v>0.4992</v>
      </c>
    </row>
    <row r="192" customFormat="false" ht="12.8" hidden="false" customHeight="false" outlineLevel="0" collapsed="false">
      <c r="A192" s="0" t="n">
        <v>39.5</v>
      </c>
      <c r="B192" s="0" t="n">
        <v>41.1</v>
      </c>
      <c r="C192" s="0" t="n">
        <v>5.8</v>
      </c>
      <c r="D192" s="0" t="n">
        <v>10.8</v>
      </c>
      <c r="E192" s="0" t="n">
        <f aca="false">2.9+(0.04*A192)+(0.17*B192)+(0.002*C192)</f>
        <v>11.4786</v>
      </c>
      <c r="F192" s="0" t="n">
        <f aca="false">1.7+(0.09*A192)+(0.2*B192)+(0.017*C192)</f>
        <v>13.5736</v>
      </c>
      <c r="G192" s="0" t="n">
        <f aca="false">(D192-E192)^2</f>
        <v>0.460497960000002</v>
      </c>
      <c r="H192" s="0" t="n">
        <f aca="false">(D192-F192)^2</f>
        <v>7.69285696</v>
      </c>
      <c r="I192" s="0" t="n">
        <f aca="false">ABS(D192-E192)</f>
        <v>0.678600000000001</v>
      </c>
      <c r="J192" s="0" t="n">
        <f aca="false">ABS(D192-F192)</f>
        <v>2.7736</v>
      </c>
    </row>
    <row r="193" customFormat="false" ht="12.8" hidden="false" customHeight="false" outlineLevel="0" collapsed="false">
      <c r="A193" s="0" t="n">
        <v>75.5</v>
      </c>
      <c r="B193" s="0" t="n">
        <v>10.8</v>
      </c>
      <c r="C193" s="0" t="n">
        <v>6</v>
      </c>
      <c r="D193" s="0" t="n">
        <v>9.9</v>
      </c>
      <c r="E193" s="0" t="n">
        <f aca="false">2.9+(0.04*A193)+(0.17*B193)+(0.002*C193)</f>
        <v>7.768</v>
      </c>
      <c r="F193" s="0" t="n">
        <f aca="false">1.7+(0.09*A193)+(0.2*B193)+(0.017*C193)</f>
        <v>10.757</v>
      </c>
      <c r="G193" s="0" t="n">
        <f aca="false">(D193-E193)^2</f>
        <v>4.545424</v>
      </c>
      <c r="H193" s="0" t="n">
        <f aca="false">(D193-F193)^2</f>
        <v>0.734448999999999</v>
      </c>
      <c r="I193" s="0" t="n">
        <f aca="false">ABS(D193-E193)</f>
        <v>2.132</v>
      </c>
      <c r="J193" s="0" t="n">
        <f aca="false">ABS(D193-F193)</f>
        <v>0.856999999999999</v>
      </c>
    </row>
    <row r="194" customFormat="false" ht="12.8" hidden="false" customHeight="false" outlineLevel="0" collapsed="false">
      <c r="A194" s="0" t="n">
        <v>17.2</v>
      </c>
      <c r="B194" s="0" t="n">
        <v>4.1</v>
      </c>
      <c r="C194" s="0" t="n">
        <v>31.6</v>
      </c>
      <c r="D194" s="0" t="n">
        <v>5.9</v>
      </c>
      <c r="E194" s="0" t="n">
        <f aca="false">2.9+(0.04*A194)+(0.17*B194)+(0.002*C194)</f>
        <v>4.3482</v>
      </c>
      <c r="F194" s="0" t="n">
        <f aca="false">1.7+(0.09*A194)+(0.2*B194)+(0.017*C194)</f>
        <v>4.6052</v>
      </c>
      <c r="G194" s="0" t="n">
        <f aca="false">(D194-E194)^2</f>
        <v>2.40808324</v>
      </c>
      <c r="H194" s="0" t="n">
        <f aca="false">(D194-F194)^2</f>
        <v>1.67650704</v>
      </c>
      <c r="I194" s="0" t="n">
        <f aca="false">ABS(D194-E194)</f>
        <v>1.5518</v>
      </c>
      <c r="J194" s="0" t="n">
        <f aca="false">ABS(D194-F194)</f>
        <v>1.2948</v>
      </c>
    </row>
    <row r="195" customFormat="false" ht="12.8" hidden="false" customHeight="false" outlineLevel="0" collapsed="false">
      <c r="A195" s="0" t="n">
        <v>166.8</v>
      </c>
      <c r="B195" s="0" t="n">
        <v>42</v>
      </c>
      <c r="C195" s="0" t="n">
        <v>3.6</v>
      </c>
      <c r="D195" s="0" t="n">
        <v>19.6</v>
      </c>
      <c r="E195" s="0" t="n">
        <f aca="false">2.9+(0.04*A195)+(0.17*B195)+(0.002*C195)</f>
        <v>16.7192</v>
      </c>
      <c r="F195" s="0" t="n">
        <f aca="false">1.7+(0.09*A195)+(0.2*B195)+(0.017*C195)</f>
        <v>25.1732</v>
      </c>
      <c r="G195" s="0" t="n">
        <f aca="false">(D195-E195)^2</f>
        <v>8.29900863999998</v>
      </c>
      <c r="H195" s="0" t="n">
        <f aca="false">(D195-F195)^2</f>
        <v>31.06055824</v>
      </c>
      <c r="I195" s="0" t="n">
        <f aca="false">ABS(D195-E195)</f>
        <v>2.8808</v>
      </c>
      <c r="J195" s="0" t="n">
        <f aca="false">ABS(D195-F195)</f>
        <v>5.5732</v>
      </c>
    </row>
    <row r="196" customFormat="false" ht="12.8" hidden="false" customHeight="false" outlineLevel="0" collapsed="false">
      <c r="A196" s="0" t="n">
        <v>149.7</v>
      </c>
      <c r="B196" s="0" t="n">
        <v>35.6</v>
      </c>
      <c r="C196" s="0" t="n">
        <v>6</v>
      </c>
      <c r="D196" s="0" t="n">
        <v>17.3</v>
      </c>
      <c r="E196" s="0" t="n">
        <f aca="false">2.9+(0.04*A196)+(0.17*B196)+(0.002*C196)</f>
        <v>14.952</v>
      </c>
      <c r="F196" s="0" t="n">
        <f aca="false">1.7+(0.09*A196)+(0.2*B196)+(0.017*C196)</f>
        <v>22.395</v>
      </c>
      <c r="G196" s="0" t="n">
        <f aca="false">(D196-E196)^2</f>
        <v>5.513104</v>
      </c>
      <c r="H196" s="0" t="n">
        <f aca="false">(D196-F196)^2</f>
        <v>25.959025</v>
      </c>
      <c r="I196" s="0" t="n">
        <f aca="false">ABS(D196-E196)</f>
        <v>2.348</v>
      </c>
      <c r="J196" s="0" t="n">
        <f aca="false">ABS(D196-F196)</f>
        <v>5.095</v>
      </c>
    </row>
    <row r="197" customFormat="false" ht="12.8" hidden="false" customHeight="false" outlineLevel="0" collapsed="false">
      <c r="A197" s="0" t="n">
        <v>38.2</v>
      </c>
      <c r="B197" s="0" t="n">
        <v>3.7</v>
      </c>
      <c r="C197" s="0" t="n">
        <v>13.8</v>
      </c>
      <c r="D197" s="0" t="n">
        <v>7.6</v>
      </c>
      <c r="E197" s="0" t="n">
        <f aca="false">2.9+(0.04*A197)+(0.17*B197)+(0.002*C197)</f>
        <v>5.0846</v>
      </c>
      <c r="F197" s="0" t="n">
        <f aca="false">1.7+(0.09*A197)+(0.2*B197)+(0.017*C197)</f>
        <v>6.1126</v>
      </c>
      <c r="G197" s="0" t="n">
        <f aca="false">(D197-E197)^2</f>
        <v>6.32723716</v>
      </c>
      <c r="H197" s="0" t="n">
        <f aca="false">(D197-F197)^2</f>
        <v>2.21235876</v>
      </c>
      <c r="I197" s="0" t="n">
        <f aca="false">ABS(D197-E197)</f>
        <v>2.5154</v>
      </c>
      <c r="J197" s="0" t="n">
        <f aca="false">ABS(D197-F197)</f>
        <v>1.4874</v>
      </c>
    </row>
    <row r="198" customFormat="false" ht="12.8" hidden="false" customHeight="false" outlineLevel="0" collapsed="false">
      <c r="A198" s="0" t="n">
        <v>94.2</v>
      </c>
      <c r="B198" s="0" t="n">
        <v>4.9</v>
      </c>
      <c r="C198" s="0" t="n">
        <v>8.1</v>
      </c>
      <c r="D198" s="0" t="n">
        <v>9.7</v>
      </c>
      <c r="E198" s="0" t="n">
        <f aca="false">2.9+(0.04*A198)+(0.17*B198)+(0.002*C198)</f>
        <v>7.5172</v>
      </c>
      <c r="F198" s="0" t="n">
        <f aca="false">1.7+(0.09*A198)+(0.2*B198)+(0.017*C198)</f>
        <v>11.2957</v>
      </c>
      <c r="G198" s="0" t="n">
        <f aca="false">(D198-E198)^2</f>
        <v>4.76461583999999</v>
      </c>
      <c r="H198" s="0" t="n">
        <f aca="false">(D198-F198)^2</f>
        <v>2.54625849</v>
      </c>
      <c r="I198" s="0" t="n">
        <f aca="false">ABS(D198-E198)</f>
        <v>2.1828</v>
      </c>
      <c r="J198" s="0" t="n">
        <f aca="false">ABS(D198-F198)</f>
        <v>1.5957</v>
      </c>
    </row>
    <row r="199" customFormat="false" ht="12.8" hidden="false" customHeight="false" outlineLevel="0" collapsed="false">
      <c r="A199" s="0" t="n">
        <v>177</v>
      </c>
      <c r="B199" s="0" t="n">
        <v>9.3</v>
      </c>
      <c r="C199" s="0" t="n">
        <v>6.4</v>
      </c>
      <c r="D199" s="0" t="n">
        <v>12.8</v>
      </c>
      <c r="E199" s="0" t="n">
        <f aca="false">2.9+(0.04*A199)+(0.17*B199)+(0.002*C199)</f>
        <v>11.5738</v>
      </c>
      <c r="F199" s="0" t="n">
        <f aca="false">1.7+(0.09*A199)+(0.2*B199)+(0.017*C199)</f>
        <v>19.5988</v>
      </c>
      <c r="G199" s="0" t="n">
        <f aca="false">(D199-E199)^2</f>
        <v>1.50356644</v>
      </c>
      <c r="H199" s="0" t="n">
        <f aca="false">(D199-F199)^2</f>
        <v>46.22368144</v>
      </c>
      <c r="I199" s="0" t="n">
        <f aca="false">ABS(D199-E199)</f>
        <v>1.2262</v>
      </c>
      <c r="J199" s="0" t="n">
        <f aca="false">ABS(D199-F199)</f>
        <v>6.7988</v>
      </c>
    </row>
    <row r="200" customFormat="false" ht="12.8" hidden="false" customHeight="false" outlineLevel="0" collapsed="false">
      <c r="A200" s="0" t="n">
        <v>283.6</v>
      </c>
      <c r="B200" s="0" t="n">
        <v>42</v>
      </c>
      <c r="C200" s="0" t="n">
        <v>66.2</v>
      </c>
      <c r="D200" s="0" t="n">
        <v>25.5</v>
      </c>
      <c r="E200" s="0" t="n">
        <f aca="false">2.9+(0.04*A200)+(0.17*B200)+(0.002*C200)</f>
        <v>21.5164</v>
      </c>
      <c r="F200" s="0" t="n">
        <f aca="false">1.7+(0.09*A200)+(0.2*B200)+(0.017*C200)</f>
        <v>36.7494</v>
      </c>
      <c r="G200" s="0" t="n">
        <f aca="false">(D200-E200)^2</f>
        <v>15.86906896</v>
      </c>
      <c r="H200" s="0" t="n">
        <f aca="false">(D200-F200)^2</f>
        <v>126.54900036</v>
      </c>
      <c r="I200" s="0" t="n">
        <f aca="false">ABS(D200-E200)</f>
        <v>3.9836</v>
      </c>
      <c r="J200" s="0" t="n">
        <f aca="false">ABS(D200-F200)</f>
        <v>11.2494</v>
      </c>
    </row>
    <row r="201" customFormat="false" ht="12.8" hidden="false" customHeight="false" outlineLevel="0" collapsed="false">
      <c r="A201" s="0" t="n">
        <v>232.1</v>
      </c>
      <c r="B201" s="0" t="n">
        <v>8.6</v>
      </c>
      <c r="C201" s="0" t="n">
        <v>8.7</v>
      </c>
      <c r="D201" s="0" t="n">
        <v>13.4</v>
      </c>
      <c r="E201" s="0" t="n">
        <f aca="false">2.9+(0.04*A201)+(0.17*B201)+(0.002*C201)</f>
        <v>13.6634</v>
      </c>
      <c r="F201" s="0" t="n">
        <f aca="false">1.7+(0.09*A201)+(0.2*B201)+(0.017*C201)</f>
        <v>24.4569</v>
      </c>
      <c r="G201" s="0" t="n">
        <f aca="false">(D201-E201)^2</f>
        <v>0.0693795600000004</v>
      </c>
      <c r="H201" s="0" t="n">
        <f aca="false">(D201-F201)^2</f>
        <v>122.25503761</v>
      </c>
      <c r="I201" s="0" t="n">
        <f aca="false">ABS(D201-E201)</f>
        <v>0.263400000000001</v>
      </c>
      <c r="J201" s="0" t="n">
        <f aca="false">ABS(D201-F201)</f>
        <v>11.0569</v>
      </c>
    </row>
    <row r="202" customFormat="false" ht="12.8" hidden="false" customHeight="false" outlineLevel="0" collapsed="false">
      <c r="G202" s="0" t="n">
        <f aca="false">AVERAGE(G2:G201)</f>
        <v>4.6060087588</v>
      </c>
    </row>
  </sheetData>
  <mergeCells count="2">
    <mergeCell ref="N2:Q2"/>
    <mergeCell ref="N3:Q3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LibreOffice/7.0.4.2$Windows_X86_64 LibreOffice_project/dcf040e67528d9187c66b2379df5ea4407429775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2021-02-25T18:18:39Z</dcterms:modified>
  <cp:revision>1</cp:revision>
  <dc:subject/>
  <dc:title/>
</cp:coreProperties>
</file>